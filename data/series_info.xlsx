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activeTab="4"/>
  </bookViews>
  <sheets>
    <sheet name="Sheet1" sheetId="1" r:id="rId1"/>
    <sheet name="chi_tiet" sheetId="2" r:id="rId2"/>
    <sheet name="Grount-truth" sheetId="4" r:id="rId3"/>
    <sheet name="Plane" sheetId="5" r:id="rId4"/>
    <sheet name="Abnormalities" sheetId="6" r:id="rId5"/>
    <sheet name="Fluid+Fat" sheetId="7" r:id="rId6"/>
  </sheets>
  <definedNames>
    <definedName name="_xlnm._FilterDatabase" localSheetId="0" hidden="1">Sheet1!$A$1:$AV$337</definedName>
    <definedName name="ExternalData_1" localSheetId="0">Sheet1!#REF!</definedName>
    <definedName name="ExternalData_2" localSheetId="0">Sheet1!#REF!</definedName>
    <definedName name="ExternalData_1_1" localSheetId="0">Sheet1!$B$1:$AV$337</definedName>
    <definedName name="ExternalData_1" localSheetId="4">Abnormalities!$A$1:$C$59</definedName>
    <definedName name="ExternalData_1" localSheetId="5">'Fluid+Fat'!$A$1:$F$59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abnormalities_per_study" type="6" background="1" refreshedVersion="2" saveData="1">
    <textPr sourceFile="D:\NCKH\RSNA_58_studies\outputs\abnormalities_per_study.csv" comma="1">
      <textFields>
        <textField/>
      </textFields>
    </textPr>
  </connection>
  <connection id="2" name="fluid_fat_tung_study" type="6" background="1" refreshedVersion="2" saveData="1">
    <textPr sourceFile="D:\NCKH\RSNA_58_studies\outputs\fluid_fat_tung_study.csv" comma="1">
      <textFields>
        <textField/>
      </textFields>
    </textPr>
  </connection>
  <connection id="3" name="series_technical_metadata" type="6" background="1" refreshedVersion="2" saveData="1">
    <textPr sourceFile="D:\NCKH\RSNA_58_studies\outputs\series_technical_metadata.csv" comma="1">
      <textFields>
        <textField/>
      </textFields>
    </textPr>
  </connection>
  <connection id="4" name="series_technical_metadata1" type="6" background="1" refreshedVersion="2" saveData="1">
    <textPr sourceFile="D:\NCKH\RSNA_58_studies\outputs\series_technical_metadata.csv" comma="1">
      <textFields>
        <textField/>
      </textFields>
    </textPr>
  </connection>
  <connection id="5" name="train_series" type="6" background="1" refreshedVersion="2" saveData="1">
    <textPr sourceFile="D:\NCKH\RSNA_58_studies\train_series.csv" comma="1">
      <textFields>
        <textField/>
      </textFields>
    </textPr>
  </connection>
</connections>
</file>

<file path=xl/sharedStrings.xml><?xml version="1.0" encoding="utf-8"?>
<sst xmlns="http://schemas.openxmlformats.org/spreadsheetml/2006/main" count="7386" uniqueCount="1568">
  <si>
    <t>stt</t>
  </si>
  <si>
    <t>StudyInstanceUID</t>
  </si>
  <si>
    <t>SeriesInstanceUID</t>
  </si>
  <si>
    <t>Fluid_Sensitive</t>
  </si>
  <si>
    <t>Fat_Suppression</t>
  </si>
  <si>
    <t>Anatomical_Plane</t>
  </si>
  <si>
    <t>SeriesDescription</t>
  </si>
  <si>
    <t>ProtocolName</t>
  </si>
  <si>
    <t>SequenceName</t>
  </si>
  <si>
    <t>ScanningSequence</t>
  </si>
  <si>
    <t>SequenceVariant</t>
  </si>
  <si>
    <t>ScanOptions</t>
  </si>
  <si>
    <t>MRAcquisitionType</t>
  </si>
  <si>
    <t>ImageType</t>
  </si>
  <si>
    <t>SeriesNumber</t>
  </si>
  <si>
    <t>Modality</t>
  </si>
  <si>
    <t>TR_ms</t>
  </si>
  <si>
    <t>TE_ms</t>
  </si>
  <si>
    <t>TI_ms</t>
  </si>
  <si>
    <t>FlipAngle_deg</t>
  </si>
  <si>
    <t>EchoTrainLength</t>
  </si>
  <si>
    <t>EchoNumbers</t>
  </si>
  <si>
    <t>NumberOfAverages</t>
  </si>
  <si>
    <t>PixelBandwidth_Hz_per_pixel</t>
  </si>
  <si>
    <t>ImagingFrequency_MHz</t>
  </si>
  <si>
    <t>MagneticFieldStrength_T</t>
  </si>
  <si>
    <t>Rows</t>
  </si>
  <si>
    <t>Columns</t>
  </si>
  <si>
    <t>PixelSpacing_mm</t>
  </si>
  <si>
    <t>SliceThickness_mm</t>
  </si>
  <si>
    <t>SpacingBetweenSlices_mm</t>
  </si>
  <si>
    <t>AcquisitionMatrix</t>
  </si>
  <si>
    <t>ReconstructionDiameter_mm</t>
  </si>
  <si>
    <t>InPlanePhaseEncodingDirection</t>
  </si>
  <si>
    <t>PercentSampling</t>
  </si>
  <si>
    <t>PercentPhaseFieldOfView</t>
  </si>
  <si>
    <t>ImageOrientationPatient</t>
  </si>
  <si>
    <t>RepresentativeInstanceNumber</t>
  </si>
  <si>
    <t>RepresentativeNumberOfFrames</t>
  </si>
  <si>
    <t>Manufacturer</t>
  </si>
  <si>
    <t>ManufacturerModelName</t>
  </si>
  <si>
    <t>SoftwareVersions</t>
  </si>
  <si>
    <t>ReceiveCoilName</t>
  </si>
  <si>
    <t>TransmitCoilName</t>
  </si>
  <si>
    <t>BodyPartExamined</t>
  </si>
  <si>
    <t>PatientPosition</t>
  </si>
  <si>
    <t>Laterality</t>
  </si>
  <si>
    <t>CandidateFileCount</t>
  </si>
  <si>
    <t>1.2.826.0.1.3680043.8.498.10095687747295410396510538520594649149</t>
  </si>
  <si>
    <t>1.2.826.0.1.3680043.8.498.10791858932231443712736629517371931282</t>
  </si>
  <si>
    <t>Sagittal</t>
  </si>
  <si>
    <t>t2_tse_sag</t>
  </si>
  <si>
    <t>*tseR2d1_13</t>
  </si>
  <si>
    <t>SE</t>
  </si>
  <si>
    <t>SP | SK</t>
  </si>
  <si>
    <t>PER</t>
  </si>
  <si>
    <t>2D</t>
  </si>
  <si>
    <t>ORIGINAL | PRIMARY | M | NORM | DIS2D | FM | FIL | MFSPLIT</t>
  </si>
  <si>
    <t>MR</t>
  </si>
  <si>
    <t>0.4 | 0.4</t>
  </si>
  <si>
    <t>400 | 0 | 0 | 280</t>
  </si>
  <si>
    <t>COL</t>
  </si>
  <si>
    <t>-0.0703243 | 0.987791 | 0.139011 | -0.109147 | 0.130899 | -0.985369</t>
  </si>
  <si>
    <t>Siemens Healthineers</t>
  </si>
  <si>
    <t>MAGNETOM Sempra</t>
  </si>
  <si>
    <t>syngo MR XA50</t>
  </si>
  <si>
    <t>Extremity_12</t>
  </si>
  <si>
    <t>Body</t>
  </si>
  <si>
    <t>KNEE</t>
  </si>
  <si>
    <t>FFS</t>
  </si>
  <si>
    <t>R</t>
  </si>
  <si>
    <t>1.2.826.0.1.3680043.8.498.12451507871565834868863189854063726441</t>
  </si>
  <si>
    <t>Coronal</t>
  </si>
  <si>
    <t>t1_tse_cor_384</t>
  </si>
  <si>
    <t>*tse2d1_3</t>
  </si>
  <si>
    <t>0.390625 | 0.390625</t>
  </si>
  <si>
    <t>0 | 384 | 307 | 0</t>
  </si>
  <si>
    <t>ROW</t>
  </si>
  <si>
    <t>0.997241 | 0.0451763 | -0.0589002 | -0.0645811 | 0.136812 | -0.98849</t>
  </si>
  <si>
    <t>1.2.826.0.1.3680043.8.498.21497837050858589852101556928971904198</t>
  </si>
  <si>
    <t>pd_tse_fs_cor</t>
  </si>
  <si>
    <t>*tse2d1_7</t>
  </si>
  <si>
    <t>FS | PER</t>
  </si>
  <si>
    <t>0.5 | 0.5</t>
  </si>
  <si>
    <t>0 | 320 | 224 | 0</t>
  </si>
  <si>
    <t>0.997244 | 0.0451692 | -0.0588493 | -0.0645298 | 0.136815 | -0.988493</t>
  </si>
  <si>
    <t>1.2.826.0.1.3680043.8.498.37372672584387115708078590109474719429</t>
  </si>
  <si>
    <t>pd_tse_fs_sag</t>
  </si>
  <si>
    <t>320 | 0 | 0 | 224</t>
  </si>
  <si>
    <t>-0.0703218 | 0.987788 | 0.139034 | -0.109149 | 0.130922 | -0.985366</t>
  </si>
  <si>
    <t>1.2.826.0.1.3680043.8.498.67495435033389756963800730529101229430</t>
  </si>
  <si>
    <t>Axial</t>
  </si>
  <si>
    <t>pd_tse_fs_tra</t>
  </si>
  <si>
    <t>0.998348 | 0.0460092 | -0.0344023 | -0.0422711 | 0.99384 | 0.102449</t>
  </si>
  <si>
    <t>1.2.826.0.1.3680043.8.498.10170898615867673028696505248839028269</t>
  </si>
  <si>
    <t>1.2.826.0.1.3680043.8.498.10560750949481691706699585852544080976</t>
  </si>
  <si>
    <t xml:space="preserve"> </t>
  </si>
  <si>
    <t>SK</t>
  </si>
  <si>
    <t>OTHER</t>
  </si>
  <si>
    <t>ORIGINAL | PRIMARY | M_SE | M | SE</t>
  </si>
  <si>
    <t>0.25 | 0.25</t>
  </si>
  <si>
    <t>0 | 356 | 256 | 0</t>
  </si>
  <si>
    <t>0.98052859306335 | -0.1944152116775 | -0.0276844967156 | -0.0208377055823 | 0.03717496246099 | -0.9990915060043</t>
  </si>
  <si>
    <t>Philips</t>
  </si>
  <si>
    <t>Achieva dStream</t>
  </si>
  <si>
    <t>5.7.1 | 5.7.1.3</t>
  </si>
  <si>
    <t>SENSE_KNEE_16_AC</t>
  </si>
  <si>
    <t>1.2.826.0.1.3680043.8.498.11485276391165564447623186225915027296</t>
  </si>
  <si>
    <t>RT.Cor_T1W_TSE</t>
  </si>
  <si>
    <t>0.22727273404598 | 0.22727273404598</t>
  </si>
  <si>
    <t>0 | 356 | 309 | 0</t>
  </si>
  <si>
    <t>1.2.826.0.1.3680043.8.498.25511961362790207336672525814885780079</t>
  </si>
  <si>
    <t>RT.COR ACL T2W FS</t>
  </si>
  <si>
    <t>FS</t>
  </si>
  <si>
    <t>0.27083334326744 | 0.27083334326744</t>
  </si>
  <si>
    <t>0 | 260 | 192 | 0</t>
  </si>
  <si>
    <t>0.98052859306335 | -0.1944152116775 | -0.0276844855397 | 0.18223179876804 | 0.84828066825866 | 0.49720367789268</t>
  </si>
  <si>
    <t>1.2.826.0.1.3680043.8.498.39687308593816556791491064151179747304</t>
  </si>
  <si>
    <t>RT.Sag_T2W_TSE</t>
  </si>
  <si>
    <t>0.41666665673255 | 0.41666665673255</t>
  </si>
  <si>
    <t>400 | 0 | 0 | 319</t>
  </si>
  <si>
    <t>0.19526775181293 | 0.98021465539932 | 0.03239994868636 | -0.0208377055823 | 0.03717496246099 | -0.9990915060043</t>
  </si>
  <si>
    <t>1.2.826.0.1.3680043.8.498.45571369239262736508574040931936336167</t>
  </si>
  <si>
    <t>RT.Cor_PDW_TSE_SPAIR</t>
  </si>
  <si>
    <t>0 | 356 | 299 | 0</t>
  </si>
  <si>
    <t>1.2.826.0.1.3680043.8.498.54042133199308823292191999163405766552</t>
  </si>
  <si>
    <t>RT.Sag_T1W_TSE</t>
  </si>
  <si>
    <t>0.3515625 | 0.3515625</t>
  </si>
  <si>
    <t>360 | 0 | 0 | 300</t>
  </si>
  <si>
    <t>1.2.826.0.1.3680043.8.498.55642842745139279565158267708282328638</t>
  </si>
  <si>
    <t>RT.Sag_PDW_TSE_SPAIR_Sag</t>
  </si>
  <si>
    <t>0.22499999403953 | 0.22499999403953</t>
  </si>
  <si>
    <t>400 | 0 | 0 | 293</t>
  </si>
  <si>
    <t>1.2.826.0.1.3680043.8.498.71876353677262220297725143243928050962</t>
  </si>
  <si>
    <t>RT.Tra_T2W_TSE_SPAIR</t>
  </si>
  <si>
    <t>0 | 292 | 281 | 0</t>
  </si>
  <si>
    <t>0.98052859306335 | -0.1944152116775 | -0.0276844967156 | 0.19526775181293 | 0.98021465539932 | 0.03239994868636</t>
  </si>
  <si>
    <t>1.2.826.0.1.3680043.8.498.80784574440782299658628251628549446552</t>
  </si>
  <si>
    <t>RT.Tra_T1W_TSE</t>
  </si>
  <si>
    <t>0 | 320 | 272 | 0</t>
  </si>
  <si>
    <t>1.2.826.0.1.3680043.8.498.10306159113324811538703788080836752052</t>
  </si>
  <si>
    <t>1.2.826.0.1.3680043.8.498.10903465965639594231540335074980096554</t>
  </si>
  <si>
    <t>Sag T2 FSE FS_sm_AIRS</t>
  </si>
  <si>
    <t>SK | OSP</t>
  </si>
  <si>
    <t>FAST_GEMS | FC_FREQ_AX_GEMS | FC | SAT_GEMS | NPW | TRF_GEMS | FILTERED_GEMS | FS</t>
  </si>
  <si>
    <t>ORIGINAL | PRIMARY | OTHER</t>
  </si>
  <si>
    <t>0.37504 | 0.37504</t>
  </si>
  <si>
    <t>256 | 0 | 0 | 224</t>
  </si>
  <si>
    <t>0.244293 | 0.966456 | 0.0792629 | -0.156654 | 0.119999 | -0.980337</t>
  </si>
  <si>
    <t>GE MEDICAL SYSTEMS</t>
  </si>
  <si>
    <t>Optima MR450w</t>
  </si>
  <si>
    <t>24 | LX | MR Software release:DV24.0_R01_1344.a</t>
  </si>
  <si>
    <t>8Ch Body FullFOV</t>
  </si>
  <si>
    <t>1.2.826.0.1.3680043.8.498.13005592320529574912256603774090195374</t>
  </si>
  <si>
    <t>Cor T1 FSE_sm_AIRS</t>
  </si>
  <si>
    <t>FAST_GEMS | NPW | TRF_GEMS</t>
  </si>
  <si>
    <t>0 | 320 | 192 | 0</t>
  </si>
  <si>
    <t>0.95943 | -0.272087 | -0.073916 | -0.0446904 | 0.112091 | -0.992692</t>
  </si>
  <si>
    <t>1.2.826.0.1.3680043.8.498.19770471468778499025432715468366899017</t>
  </si>
  <si>
    <t>Ax T2 FSE FS_sm_AIRS</t>
  </si>
  <si>
    <t>FAST_GEMS | SAT_GEMS | NPW | TRF_GEMS | FS</t>
  </si>
  <si>
    <t>256 | 0 | 0 | 192</t>
  </si>
  <si>
    <t>0.963397 | -0.25902 | -0.0690923 | 0.264348 | 0.960741 | 0.0842459</t>
  </si>
  <si>
    <t>1.2.826.0.1.3680043.8.498.28095032587022735220409990288365943063</t>
  </si>
  <si>
    <t>Cor T2 FSE FS_sm_AIRS</t>
  </si>
  <si>
    <t>FAST_GEMS | FC_FREQ_AX_GEMS | FC | SAT_GEMS | NPW | TRF_GEMS | FS</t>
  </si>
  <si>
    <t>0 | 256 | 192 | 0</t>
  </si>
  <si>
    <t>0.95943 | -0.272087 | -0.0739162 | -0.0446905 | 0.112092 | -0.992692</t>
  </si>
  <si>
    <t>1.2.826.0.1.3680043.8.498.51945041305607216480680536482454984028</t>
  </si>
  <si>
    <t>cor STIR_sm_AIRS</t>
  </si>
  <si>
    <t>RM</t>
  </si>
  <si>
    <t>OSP</t>
  </si>
  <si>
    <t>SAT_GEMS | NPW | SEQ_GEMS | TRF_GEMS | SP</t>
  </si>
  <si>
    <t>0.95943 | -0.272087 | -0.0739159 | -0.0446904 | 0.112091 | -0.992692</t>
  </si>
  <si>
    <t>1.2.826.0.1.3680043.8.498.52935759841844767282979852850479469448</t>
  </si>
  <si>
    <t>ax STIR_sm_AIRS</t>
  </si>
  <si>
    <t>0.31248 | 0.31248</t>
  </si>
  <si>
    <t>256 | 0 | 0 | 160</t>
  </si>
  <si>
    <t>0.960607 | -0.253804 | -0.113214 | 0.263867 | 0.960814 | 0.0849162</t>
  </si>
  <si>
    <t>1.2.826.0.1.3680043.8.498.55427564251500418323672579441288025575</t>
  </si>
  <si>
    <t>Sag PD FSE_sm_AIRS</t>
  </si>
  <si>
    <t>384 | 0 | 0 | 256</t>
  </si>
  <si>
    <t>0.244293 | 0.966456 | 0.0792628 | -0.156654 | 0.119999 | -0.980337</t>
  </si>
  <si>
    <t>1.2.826.0.1.3680043.8.498.11287937729196958426538087439102017580</t>
  </si>
  <si>
    <t>1.2.826.0.1.3680043.8.498.10819304863029245505396116222076917240</t>
  </si>
  <si>
    <t>Sag T2 FS</t>
  </si>
  <si>
    <t>0.3906 | 0.3906</t>
  </si>
  <si>
    <t>-0.114193 | 0.993453 | 0.00328701 | -0.019279 | 0.001092 | -0.999814</t>
  </si>
  <si>
    <t>1.2.826.0.1.3680043.8.498.11454182648928474635381502957910523653</t>
  </si>
  <si>
    <t>CORT2 FS</t>
  </si>
  <si>
    <t>0.4297 | 0.4297</t>
  </si>
  <si>
    <t>0.995311 | 0.0963616 | 0.00837503 | 0.00552521 | 0.0298039 | -0.99954</t>
  </si>
  <si>
    <t>1.2.826.0.1.3680043.8.498.12552728774210526013400534363105740572</t>
  </si>
  <si>
    <t>AX T2 FS</t>
  </si>
  <si>
    <t>0.4492 | 0.4492</t>
  </si>
  <si>
    <t>0.989873 | 0.141945 | -0.00184801 | -0.141945 | 0.989875 | 0</t>
  </si>
  <si>
    <t>1.2.826.0.1.3680043.8.498.14912947740172635156351119156260949957</t>
  </si>
  <si>
    <t>Sag T1</t>
  </si>
  <si>
    <t>-0.114193 | 0.993453 | 0.00328705 | -0.0192779 | 0.00109215 | -0.999814</t>
  </si>
  <si>
    <t>1.2.826.0.1.3680043.8.498.93698495301744954009961652118533312307</t>
  </si>
  <si>
    <t>Sag PD FS</t>
  </si>
  <si>
    <t>-0.114193 | 0.993453 | 0.00328705 | -0.0192789 | 0.00109207 | -0.999814</t>
  </si>
  <si>
    <t>1.2.826.0.1.3680043.8.498.11382021393803389951964005983002209238</t>
  </si>
  <si>
    <t>1.2.826.0.1.3680043.8.498.10450090035285223893337909203260865351</t>
  </si>
  <si>
    <t>LT_t2_tse_fs_cor_obl_PCL</t>
  </si>
  <si>
    <t>*tseR2d1rr17</t>
  </si>
  <si>
    <t>SK | SP | OSP</t>
  </si>
  <si>
    <t>ORIGINAL | PRIMARY | M | ND | NORM</t>
  </si>
  <si>
    <t>0.21875 | 0.21875</t>
  </si>
  <si>
    <t>0.9963205949783 | 0.08570456243452 | -7.039244e-009 | -0.0431305785039 | 0.50139544889047 | -0.8641425559651</t>
  </si>
  <si>
    <t>SIEMENS</t>
  </si>
  <si>
    <t>Aera</t>
  </si>
  <si>
    <t>syngo MR E11</t>
  </si>
  <si>
    <t>TxRx_15Ch_Knee</t>
  </si>
  <si>
    <t>L</t>
  </si>
  <si>
    <t>1.2.826.0.1.3680043.8.498.14985374264812063212398702944383827602</t>
  </si>
  <si>
    <t>LT_t2_tse_fs_tra</t>
  </si>
  <si>
    <t>*tse2d1_13</t>
  </si>
  <si>
    <t>320 | 0 | 0 | 240</t>
  </si>
  <si>
    <t>0.98818977317706 | -0.0091610260068 | 0.15296093550567 | -0.0017247651634 | 0.99748312958324 | 0.07088322355787</t>
  </si>
  <si>
    <t>1.2.826.0.1.3680043.8.498.29866461247060130198043430878917197330</t>
  </si>
  <si>
    <t>LT_t2_tse_fs_cor_obl_ACL</t>
  </si>
  <si>
    <t>0.234375 | 0.234375</t>
  </si>
  <si>
    <t>0.99838604522677 | 0.03672431509977 | 0.04332008052738 | 0.05646334262083 | -0.5599562247364 | -0.8265959819156</t>
  </si>
  <si>
    <t>1.2.826.0.1.3680043.8.498.38450243001981446118642153746249112051</t>
  </si>
  <si>
    <t>LT_t2_tse_sag</t>
  </si>
  <si>
    <t>*tse2d1rr18</t>
  </si>
  <si>
    <t>0.26149368132327 | 0.96520518783728 | 9.799637e-009 | 0.06720791826274 | -0.0182079794081 | -0.9975728370443</t>
  </si>
  <si>
    <t>1.2.826.0.1.3680043.8.498.48581226492982822161395493344457147102</t>
  </si>
  <si>
    <t>LT_t1_tse_sag</t>
  </si>
  <si>
    <t>1.2.826.0.1.3680043.8.498.54935794411829066097355160457970604724</t>
  </si>
  <si>
    <t>LT_t1_tse_tra</t>
  </si>
  <si>
    <t>1.2.826.0.1.3680043.8.498.73426276941399852513998542018430402942</t>
  </si>
  <si>
    <t>LT_t1_tse_cor</t>
  </si>
  <si>
    <t>0 | 320 | 256 | 0</t>
  </si>
  <si>
    <t>0.99867891705681 | -0.0100523983574 | 0.05039216123062 | 0.05108608356929 | 0.08860509046962 | -0.9947559248421</t>
  </si>
  <si>
    <t>1.2.826.0.1.3680043.8.498.91903627435354016135777336404933338336</t>
  </si>
  <si>
    <t>LT_pd_tse_fs_sag</t>
  </si>
  <si>
    <t>*tse2d1rr9</t>
  </si>
  <si>
    <t>1.2.826.0.1.3680043.8.498.93215173970625947969112669628390847443</t>
  </si>
  <si>
    <t>LT_pd_tse_fs_cor</t>
  </si>
  <si>
    <t>0 | 320 | 240 | 0</t>
  </si>
  <si>
    <t>1.2.826.0.1.3680043.8.498.11548045715264151632153040089882701935</t>
  </si>
  <si>
    <t>1.2.826.0.1.3680043.8.498.11483777317678061466864607463133892766</t>
  </si>
  <si>
    <t>0 | 260 | 184 | 0</t>
  </si>
  <si>
    <t>0.99662256240844 | -0.0352156423032 | -0.0741841122508 | -0.0820641517639 | -0.4599284231662 | -0.8841556906700</t>
  </si>
  <si>
    <t>1.2.826.0.1.3680043.8.498.12942837807178755325452698984524562225</t>
  </si>
  <si>
    <t>0.99291574954986 | -0.0538421012461 | -0.1059214696288 | 0.05591516941785 | 0.99829590320587 | 0.01669825613498</t>
  </si>
  <si>
    <t>1.2.826.0.1.3680043.8.498.13258540246811280543331620740563767493</t>
  </si>
  <si>
    <t>0 | 292 | 265 | 0</t>
  </si>
  <si>
    <t>1.2.826.0.1.3680043.8.498.24901571377214075058803703161169402193</t>
  </si>
  <si>
    <t>0 | 356 | 288 | 0</t>
  </si>
  <si>
    <t>0.99291574954986 | -0.0435183122754 | -0.1105644032359 | -0.1048419028520 | 0.11701148748397 | -0.9875811338424</t>
  </si>
  <si>
    <t>1.2.826.0.1.3680043.8.498.38603242122624552076191735510850848597</t>
  </si>
  <si>
    <t>-0.0185953844338 | 0.99968761205673 | 0.01669825613498 | -0.1062267199158 | 0.01463122293353 | -0.9942342638969</t>
  </si>
  <si>
    <t>1.2.826.0.1.3680043.8.498.53355900447142549760284049936407928123</t>
  </si>
  <si>
    <t>RT.Cor_TSE_T2</t>
  </si>
  <si>
    <t>1.2.826.0.1.3680043.8.498.54680010975301762365724523486752133418</t>
  </si>
  <si>
    <t>360 | 0 | 0 | 297</t>
  </si>
  <si>
    <t>1.2.826.0.1.3680043.8.498.72911789053690199013409419164676013672</t>
  </si>
  <si>
    <t>400 | 0 | 0 | 312</t>
  </si>
  <si>
    <t>1.2.826.0.1.3680043.8.498.80569003952772851177100325531323558152</t>
  </si>
  <si>
    <t>0 | 356 | 313 | 0</t>
  </si>
  <si>
    <t>1.2.826.0.1.3680043.8.498.11557620559191469069130827959098335840</t>
  </si>
  <si>
    <t>1.2.826.0.1.3680043.8.498.46111989241956497589129886237673737566</t>
  </si>
  <si>
    <t>t1_se_cor_384</t>
  </si>
  <si>
    <t>*se2d1</t>
  </si>
  <si>
    <t>SP | OSP</t>
  </si>
  <si>
    <t>PFP</t>
  </si>
  <si>
    <t>ORIGINAL | PRIMARY | M | NORM | DIS2D</t>
  </si>
  <si>
    <t>0.41666665673256 | 0.41666665673256</t>
  </si>
  <si>
    <t>0 | 384 | 269 | 0</t>
  </si>
  <si>
    <t>0.99276634329959 | -0.0779611586326 | -0.0913074222406 | -0.0976955244944 | -0.0824880036485 | -0.9917919710039</t>
  </si>
  <si>
    <t>Skyra</t>
  </si>
  <si>
    <t>TxRx_Knee_15</t>
  </si>
  <si>
    <t>1.2.826.0.1.3680043.8.498.50613286207082214222722525784789239290</t>
  </si>
  <si>
    <t>pd_tse_fs_tra_320</t>
  </si>
  <si>
    <t>*tseR2d1rs6</t>
  </si>
  <si>
    <t>0.99411022617726 | -0.0556237337038 | -0.0930099911764 | 0.05401309930103 | 0.99834494443028 | -0.0197473298042</t>
  </si>
  <si>
    <t>1.2.826.0.1.3680043.8.498.64449808338301790661391516052328478183</t>
  </si>
  <si>
    <t>t2_tse_cor_lca</t>
  </si>
  <si>
    <t>0.375 | 0.375</t>
  </si>
  <si>
    <t>0.99640605939006 | -0.0298925990694 | -0.0792552669017 | -0.0828502577287 | -0.5386702697308 | -0.8384331668669</t>
  </si>
  <si>
    <t>1.2.826.0.1.3680043.8.498.74490634866067804318496348509978724860</t>
  </si>
  <si>
    <t>t2_tse_sag_448</t>
  </si>
  <si>
    <t>*tseR2d1_14</t>
  </si>
  <si>
    <t>-0.0885391354114 | 0.98732149778166 | -0.1317462770585 | -0.0902185481822 | -0.1396709840871 | -0.9860794236612</t>
  </si>
  <si>
    <t>1.2.826.0.1.3680043.8.498.76053899657527315952853964202368500798</t>
  </si>
  <si>
    <t>pd_tse_fs_sag_320</t>
  </si>
  <si>
    <t>*tse2d1rs5</t>
  </si>
  <si>
    <t>-0.0885391089766 | 0.98732150064588 | -0.1317462733591 | -0.0902183018898 | -0.1396709589667 | -0.9860794497531</t>
  </si>
  <si>
    <t>1.2.826.0.1.3680043.8.498.81787334059184556686818388901104015308</t>
  </si>
  <si>
    <t>pd_tse_fs_cor_320</t>
  </si>
  <si>
    <t>*tse2d1rs6</t>
  </si>
  <si>
    <t>1.2.826.0.1.3680043.8.498.11771393824519892797114773408583976756</t>
  </si>
  <si>
    <t>1.2.826.0.1.3680043.8.498.12611982787035055021219208925814685689</t>
  </si>
  <si>
    <t>SG PD FatSat</t>
  </si>
  <si>
    <t>ORIGINAL | PRIMARY | GDC</t>
  </si>
  <si>
    <t>0.2813 | 0.2813</t>
  </si>
  <si>
    <t>0.02971364 | 0.99955839 | -0.00026879 | -0.00904570 | 0.00000000 | -0.99995911</t>
  </si>
  <si>
    <t>TOSHIBA</t>
  </si>
  <si>
    <t>Vantage</t>
  </si>
  <si>
    <t>EXTREMITY</t>
  </si>
  <si>
    <t>1.2.826.0.1.3680043.8.498.38661357433276987043969996027193861223</t>
  </si>
  <si>
    <t>SG T1W</t>
  </si>
  <si>
    <t>0.2679 | 0.2679</t>
  </si>
  <si>
    <t>1.2.826.0.1.3680043.8.498.82713864873588110089135844757295052009</t>
  </si>
  <si>
    <t>SG T2W FS</t>
  </si>
  <si>
    <t>0.3516 | 0.3516</t>
  </si>
  <si>
    <t>1.2.826.0.1.3680043.8.498.84820111452997120776541070690928490202</t>
  </si>
  <si>
    <t>AX T2W FS</t>
  </si>
  <si>
    <t>0.3125 | 0.3125</t>
  </si>
  <si>
    <t>0.99999660 | -0.00086533 | 0.00246627 | 0.00065502 | 0.99646258 | 0.08403505</t>
  </si>
  <si>
    <t>1.2.826.0.1.3680043.8.498.90312542992412683157082113686184827836</t>
  </si>
  <si>
    <t>CO T2W FS</t>
  </si>
  <si>
    <t>0.99899238 | -0.03633045 | -0.02634882 | -0.01902411 | 0.18894409 | -0.98180354</t>
  </si>
  <si>
    <t>1.2.826.0.1.3680043.8.498.11851412923016044948101698015974810604</t>
  </si>
  <si>
    <t>1.2.826.0.1.3680043.8.498.38946384864117135171384663677960789880</t>
  </si>
  <si>
    <t>COR T1</t>
  </si>
  <si>
    <t>*tse2d1rr3</t>
  </si>
  <si>
    <t>0.6640625 | 0.6640625</t>
  </si>
  <si>
    <t>0.98526163191843 | 0.119606372246 | -0.1222858634004 | -0.1356230223783 | 0.11057123405294 | -0.984571174675</t>
  </si>
  <si>
    <t>Verio_DOT</t>
  </si>
  <si>
    <t>1.2.826.0.1.3680043.8.498.43694888338048703729850099846765930063</t>
  </si>
  <si>
    <t>*tse2d1rr20</t>
  </si>
  <si>
    <t>0 | 256 | 256 | 0</t>
  </si>
  <si>
    <t>0.99121984802401 | 0.02264795596712 | -0.1302700386649 | -0.0140139751389 | 0.99766686178367 | 0.06681647550962</t>
  </si>
  <si>
    <t>1.2.826.0.1.3680043.8.498.75774353008974228916065002158103177868</t>
  </si>
  <si>
    <t>SAG T2 FS</t>
  </si>
  <si>
    <t>*tse2d1rr16</t>
  </si>
  <si>
    <t>256 | 0 | 0 | 256</t>
  </si>
  <si>
    <t>-0.1073140800207 | 0.98806631134161 | 0.11049277180479 | -0.1439140461619 | 0.09452663312439 | -0.9850652074596</t>
  </si>
  <si>
    <t>1.2.826.0.1.3680043.8.498.96460311887938476084320882783854369448</t>
  </si>
  <si>
    <t>SAG PD</t>
  </si>
  <si>
    <t>*tseR2d1rr6</t>
  </si>
  <si>
    <t>0.53125 | 0.53125</t>
  </si>
  <si>
    <t>320 | 0 | 0 | 256</t>
  </si>
  <si>
    <t>1.2.826.0.1.3680043.8.498.99189356480890482418477312767560138524</t>
  </si>
  <si>
    <t>COR T2 FS</t>
  </si>
  <si>
    <t>1.2.826.0.1.3680043.8.498.11915937982684988073644209606907169581</t>
  </si>
  <si>
    <t>1.2.826.0.1.3680043.8.498.11990303844095911723613574201435309071</t>
  </si>
  <si>
    <t>RT. PD_TSE_COR_FS</t>
  </si>
  <si>
    <t>*tse2d1_9</t>
  </si>
  <si>
    <t>SP | FS | PER</t>
  </si>
  <si>
    <t>ORIGINAL | PRIMARY | M | NORM | DIS2D | MFSPLIT</t>
  </si>
  <si>
    <t>0.416667 | 0.416667</t>
  </si>
  <si>
    <t>0 | 384 | 288 | 0</t>
  </si>
  <si>
    <t>0.997167 | -0.0203155 | -0.0724178 | -0.0710878 | 0.0599373 | -0.995668</t>
  </si>
  <si>
    <t>MAGNETOM Aera</t>
  </si>
  <si>
    <t>syngo MR XA60</t>
  </si>
  <si>
    <t>1.2.826.0.1.3680043.8.498.64673316729830153768997702312444992482</t>
  </si>
  <si>
    <t>RT. PD_TSE_TRA_FS</t>
  </si>
  <si>
    <t>*tse2d1_15</t>
  </si>
  <si>
    <t>0.997485 | -0.039719 | -0.0586977 | 0.0430752 | 0.997441 | 0.0570631</t>
  </si>
  <si>
    <t>1.2.826.0.1.3680043.8.498.71284507741504130254010428167357512908</t>
  </si>
  <si>
    <t>RT. PD_TSE_SAG</t>
  </si>
  <si>
    <t>SP | PER</t>
  </si>
  <si>
    <t>384 | 0 | 0 | 342</t>
  </si>
  <si>
    <t>0.00879144 | 0.999961 | 2.17144E-10 | -0.118013 | 0.00103755 | -0.993011</t>
  </si>
  <si>
    <t>1.2.826.0.1.3680043.8.498.99460954672560730370603461273029137513</t>
  </si>
  <si>
    <t>RT. T2_TSE_SAG_FS</t>
  </si>
  <si>
    <t>*tseR2d1_11</t>
  </si>
  <si>
    <t>1.2.826.0.1.3680043.8.498.12448079646359892252441208258836556945</t>
  </si>
  <si>
    <t>1.2.826.0.1.3680043.8.498.12643342492475545314010779881304326087</t>
  </si>
  <si>
    <t>T1W_aTSE CORONAL</t>
  </si>
  <si>
    <t>0.302734375 | 0.302734375</t>
  </si>
  <si>
    <t>0 | 312 | 216 | 0</t>
  </si>
  <si>
    <t>0.97153979539871 | -0.1759701222181 | -0.1585714221000 | -0.1401977986097 | 0.11241836100816 | -0.9837208390235</t>
  </si>
  <si>
    <t>Philips Healthcare</t>
  </si>
  <si>
    <t>Ingenia</t>
  </si>
  <si>
    <t>5.6.1 | 5.6.1.3</t>
  </si>
  <si>
    <t>1.2.826.0.1.3680043.8.498.30578400972104371422156040149306494449</t>
  </si>
  <si>
    <t>SAG DP</t>
  </si>
  <si>
    <t>0.17735135555267 | 0.17735135555267</t>
  </si>
  <si>
    <t>520 | 0 | 0 | 497</t>
  </si>
  <si>
    <t>0.04358857870101 | 0.99891895055770 | 0.01615312136709 | -0.0596015825867 | 0.01873977109789 | -0.9980463385581</t>
  </si>
  <si>
    <t>1.2.826.0.1.3680043.8.498.35003530834353727317166773901402690335</t>
  </si>
  <si>
    <t>AXI T2 SPIR SENSE</t>
  </si>
  <si>
    <t>0.1875 | 0.1875</t>
  </si>
  <si>
    <t>0 | 167 | 121 | 0</t>
  </si>
  <si>
    <t>0.97933334112167 | -0.1284451335668 | -0.1562307924032 | 0.14574752748012 | 0.98375248908996 | 0.10482687503099</t>
  </si>
  <si>
    <t>1.2.826.0.1.3680043.8.498.80909030645776100335455943053491814088</t>
  </si>
  <si>
    <t>COR DP SPAIR</t>
  </si>
  <si>
    <t>0 | 332 | 329 | 0</t>
  </si>
  <si>
    <t>1.2.826.0.1.3680043.8.498.94077776728386958447335448372021135873</t>
  </si>
  <si>
    <t>SAG DP SPIR</t>
  </si>
  <si>
    <t>0.28376215696334 | 0.28376215696334</t>
  </si>
  <si>
    <t>456 | 0 | 0 | 399</t>
  </si>
  <si>
    <t>1.2.826.0.1.3680043.8.498.98854653755559244446286531435612319314</t>
  </si>
  <si>
    <t>STIR_aTSE_TR_16 SENSE</t>
  </si>
  <si>
    <t>IR</t>
  </si>
  <si>
    <t>FC</t>
  </si>
  <si>
    <t>ORIGINAL | PRIMARY | M_IR | M | IR</t>
  </si>
  <si>
    <t>0.46875 | 0.46875</t>
  </si>
  <si>
    <t>0.97828817367553 | -0.1334880143404 | -0.1585345715284 | 0.14886878430843 | 0.98480522632598 | 0.08942443877458</t>
  </si>
  <si>
    <t>1.2.826.0.1.3680043.8.498.12505035424093604269515328931488770819</t>
  </si>
  <si>
    <t>1.2.826.0.1.3680043.8.498.10058037489628716700816688496042880245</t>
  </si>
  <si>
    <t>0.24266168475151 | 0.24266168475151</t>
  </si>
  <si>
    <t>0 | 360 | 240 | 0</t>
  </si>
  <si>
    <t>-0.2989978492259 | 0.95366448163986 | 0.03353036567568 | -0.0075531606562 | 0.03277150169014 | -0.9994343519210</t>
  </si>
  <si>
    <t>Philips Medical Systems</t>
  </si>
  <si>
    <t>Achieva</t>
  </si>
  <si>
    <t>3.2.3 | 3.2.3.5</t>
  </si>
  <si>
    <t>SENSE-Knee-16</t>
  </si>
  <si>
    <t>B</t>
  </si>
  <si>
    <t>ANKLE</t>
  </si>
  <si>
    <t>1.2.826.0.1.3680043.8.498.26305590810679435830376901422393297766</t>
  </si>
  <si>
    <t>0.23682665824890 | 0.23682665824890</t>
  </si>
  <si>
    <t>0 | 352 | 240 | 0</t>
  </si>
  <si>
    <t>1.2.826.0.1.3680043.8.498.41911386079999648645730179349529867886</t>
  </si>
  <si>
    <t>COR SPIR</t>
  </si>
  <si>
    <t>0.47619047760963 | 0.47619047760963</t>
  </si>
  <si>
    <t>0 | 228 | 181 | 0</t>
  </si>
  <si>
    <t>0.95422387123107 | 0.29908198118209 | 0.00259542791172 | -0.0075531606562 | 0.03277150169014 | -0.9994343519210</t>
  </si>
  <si>
    <t>1.2.826.0.1.3680043.8.498.63349206091681534493848463157511154322</t>
  </si>
  <si>
    <t>256 | 0 | 0 | 201</t>
  </si>
  <si>
    <t>1.2.826.0.1.3680043.8.498.64033002899810126597833586036345623131</t>
  </si>
  <si>
    <t>T1W_TSE</t>
  </si>
  <si>
    <t>0.30303031206130 | 0.30303031206130</t>
  </si>
  <si>
    <t>0 | 364 | 245 | 0</t>
  </si>
  <si>
    <t>1.2.826.0.1.3680043.8.498.96225261274596688102834905835286265015</t>
  </si>
  <si>
    <t>AXIAL STIR</t>
  </si>
  <si>
    <t>0.29166665673255 | 0.29166665673255</t>
  </si>
  <si>
    <t>0 | 296 | 211 | 0</t>
  </si>
  <si>
    <t>0.95303755998611 | 0.28323674201965 | 0.10722090303897 | -0.2964953482151 | 0.94475871324539 | 0.13971939682960</t>
  </si>
  <si>
    <t>1.2.826.0.1.3680043.8.498.12606657226568558340797193167488111973</t>
  </si>
  <si>
    <t>1.2.826.0.1.3680043.8.498.11119341733412446515084456525158577841</t>
  </si>
  <si>
    <t>LT.Sag_T2W_TSE</t>
  </si>
  <si>
    <t>0.29607567191123 | 0.95460778474807 | 0.03260588645935 | 0.00732288742437 | 0.03186682611703 | -0.9994652867317</t>
  </si>
  <si>
    <t>1.2.826.0.1.3680043.8.498.12346063444250771269882141920568607762</t>
  </si>
  <si>
    <t>LT.Sag_PDW_TSE_SPAIR_Sag</t>
  </si>
  <si>
    <t>400 | 0 | 0 | 279</t>
  </si>
  <si>
    <t>1.2.826.0.1.3680043.8.498.13121937699482340490162573230225984913</t>
  </si>
  <si>
    <t>LT.Tra_T2W_TSE_SPAIR</t>
  </si>
  <si>
    <t>0.99917638301849 | 0.00369714270345 | 0.04040898755192 | -0.0049799703992 | 0.99948531389236 | 0.03169169276952</t>
  </si>
  <si>
    <t>1.2.826.0.1.3680043.8.498.27146062832035348929206890381154881403</t>
  </si>
  <si>
    <t>AX T2W_FFE</t>
  </si>
  <si>
    <t>GR</t>
  </si>
  <si>
    <t>SS</t>
  </si>
  <si>
    <t>ORIGINAL | PRIMARY | M_FFE | M | FFE</t>
  </si>
  <si>
    <t>0.28571429848670 | 0.28571429848670</t>
  </si>
  <si>
    <t>272 | 0 | 0 | 246</t>
  </si>
  <si>
    <t>1.2.826.0.1.3680043.8.498.36400594315548091590932574077827580913</t>
  </si>
  <si>
    <t>LT.COR ACL T2W FS</t>
  </si>
  <si>
    <t>0.99575746059417 | 0.06258912384510 | 0.06745166331529 | 0.09141594171524 | -0.5892343521118 | -0.8027739524841</t>
  </si>
  <si>
    <t>1.2.826.0.1.3680043.8.498.37032826821035854589423026056104771845</t>
  </si>
  <si>
    <t>LT.Cor_T1W_TSE</t>
  </si>
  <si>
    <t>0 | 356 | 312 | 0</t>
  </si>
  <si>
    <t>0.98925596475601 | 0.14577449858188 | 0.01106416992843 | 0.00922713987529 | 0.01327201258391 | -0.9998693466186</t>
  </si>
  <si>
    <t>1.2.826.0.1.3680043.8.498.48596041693374046380061484793643395950</t>
  </si>
  <si>
    <t>LT.Cor_PDW_TSE_SPAIR</t>
  </si>
  <si>
    <t>0 | 356 | 280 | 0</t>
  </si>
  <si>
    <t>1.2.826.0.1.3680043.8.498.70201249295424498000016311954668156569</t>
  </si>
  <si>
    <t>LT.Sag_T1W_TSE</t>
  </si>
  <si>
    <t>360 | 0 | 0 | 296</t>
  </si>
  <si>
    <t>1.2.826.0.1.3680043.8.498.98290219265386633983477854129759284108</t>
  </si>
  <si>
    <t>LT.Tra_T1W_TSE</t>
  </si>
  <si>
    <t>1.2.826.0.1.3680043.8.498.12801308844398614687904447633432197492</t>
  </si>
  <si>
    <t>1.2.826.0.1.3680043.8.498.12840952989395411061636411902524593000</t>
  </si>
  <si>
    <t>t2_me2d_sag</t>
  </si>
  <si>
    <t>*me2d1r3</t>
  </si>
  <si>
    <t>SP</t>
  </si>
  <si>
    <t>ORIGINAL | PRIMARY | M | ND</t>
  </si>
  <si>
    <t>0.00873988794666 | 0.99996180644997 | -3.71646197e-009 | -0.010141339431 | 8.863383923e-005 | -0.9999485713668</t>
  </si>
  <si>
    <t>SonataVision</t>
  </si>
  <si>
    <t>syngo MR A40 4VA40A</t>
  </si>
  <si>
    <t>CP_Extremity</t>
  </si>
  <si>
    <t>1.2.826.0.1.3680043.8.498.21310459920289088021941024557702629822</t>
  </si>
  <si>
    <t>pd_tse_fs_tra_np</t>
  </si>
  <si>
    <t>0.33854166666667 | 0.33854166666667</t>
  </si>
  <si>
    <t>0 | 192 | 192 | 0</t>
  </si>
  <si>
    <t>0.9996739382417 | 0.00113827020647 | -0.0255092442316 | 2.258604202e-010 | 0.99900592815237 | 0.04457752254688</t>
  </si>
  <si>
    <t>1.2.826.0.1.3680043.8.498.48113798985258668035677850099478338495</t>
  </si>
  <si>
    <t>pd_tse_fs_cor_np</t>
  </si>
  <si>
    <t>0.99801988198289 | 0.062899246155 | 8.539556284e-010 | -0.003187602455 | 0.05057757720958 | -0.9987150483868</t>
  </si>
  <si>
    <t>1.2.826.0.1.3680043.8.498.48739703379973347597087283890648986544</t>
  </si>
  <si>
    <t>1.2.826.0.1.3680043.8.498.51148402259712862712353546920527079297</t>
  </si>
  <si>
    <t>pd_tse_fs_sag_np</t>
  </si>
  <si>
    <t>*tse2d1_5</t>
  </si>
  <si>
    <t>1.2.826.0.1.3680043.8.498.12978510157202852202776899910529174803</t>
  </si>
  <si>
    <t>1.2.826.0.1.3680043.8.498.10259924209097075418304938918872474391</t>
  </si>
  <si>
    <t>PDW_TSE_Sag</t>
  </si>
  <si>
    <t>0.40000000596046 | 0.40000000596046</t>
  </si>
  <si>
    <t>400 | 0 | 0 | 344</t>
  </si>
  <si>
    <t>0.25874702688564 | 0.96591197475014 | -0.0080020692401 | -0.0309114480024 | 0 | -0.9995221270098</t>
  </si>
  <si>
    <t>5.3.1 | 5.3.1.4</t>
  </si>
  <si>
    <t>SENSE_HR_KNEE_AC</t>
  </si>
  <si>
    <t>1.2.826.0.1.3680043.8.498.12015429216227904374156098053545527623</t>
  </si>
  <si>
    <t>0.39999720454216 | 0.39999720454216</t>
  </si>
  <si>
    <t>400 | 0 | 0 | 347</t>
  </si>
  <si>
    <t>0.25878728322241 | 0.95573152459306 | 0.14002283721373 | 0.08731762598487 | 0.12122102022815 | -0.9887775768327</t>
  </si>
  <si>
    <t>1.2.826.0.1.3680043.8.498.43918311649410688736808710698060757556</t>
  </si>
  <si>
    <t>T1W_TSE_Cor</t>
  </si>
  <si>
    <t>0.96582943853371 | -0.2538897224425 | -0.0520913092531 | -0.0142349474737 | 0.14871874539714 | -0.9887770734791</t>
  </si>
  <si>
    <t>1.2.826.0.1.3680043.8.498.50206199772224497999907595310351485428</t>
  </si>
  <si>
    <t>PDW_TSE_SPAIR_Cor</t>
  </si>
  <si>
    <t>0 | 356 | 305 | 0</t>
  </si>
  <si>
    <t>1.2.826.0.1.3680043.8.498.82658600175623821183500358920309067443</t>
  </si>
  <si>
    <t>PDW_TSE_SPAIR_Sag</t>
  </si>
  <si>
    <t>380 | 0 | 0 | 293</t>
  </si>
  <si>
    <t>1.2.826.0.1.3680043.8.498.95737920059944686538141068233888690539</t>
  </si>
  <si>
    <t>PDW_TSE_SPAIR_Tra</t>
  </si>
  <si>
    <t>0 | 356 | 268 | 0</t>
  </si>
  <si>
    <t>0.96545039799631 | -0.2588707102544 | -0.0298577356997 | 0.26004051477759 | 0.96449701678148 | 0.04609159678099</t>
  </si>
  <si>
    <t>1.2.826.0.1.3680043.8.498.13267780356245120052411517053322874891</t>
  </si>
  <si>
    <t>1.2.826.0.1.3680043.8.498.11601405247092213838767293303300560912</t>
  </si>
  <si>
    <t>Sag T2 fs</t>
  </si>
  <si>
    <t>0.332 | 0.332</t>
  </si>
  <si>
    <t>-0.0627771 | 0.998025 | -0.00213629 | 0.0492572 | 0.000976614 | -0.998786</t>
  </si>
  <si>
    <t>Signa HDxt</t>
  </si>
  <si>
    <t>1.2.826.0.1.3680043.8.498.18633001863723640513168082564046004038</t>
  </si>
  <si>
    <t>Sag PD  F/S</t>
  </si>
  <si>
    <t>-0.0627772 | 0.998025 | -0.00213629 | 0.0492572 | 0.000976614 | -0.998786</t>
  </si>
  <si>
    <t>1.2.826.0.1.3680043.8.498.60329250734334275308110817172897714281</t>
  </si>
  <si>
    <t>Sag T1 SE</t>
  </si>
  <si>
    <t>1.2.826.0.1.3680043.8.498.63041321193340816564494138555216466576</t>
  </si>
  <si>
    <t>Cor T2 FS</t>
  </si>
  <si>
    <t>0.994435 | 0.105318 | 0.00271608 | -0.00619518 | 0.0839859 | -0.996448</t>
  </si>
  <si>
    <t>1.2.826.0.1.3680043.8.498.73978745362309858790387708743520311872</t>
  </si>
  <si>
    <t>1 | -0 | 0 | -0 | 0.999998 | -0.00189214</t>
  </si>
  <si>
    <t>1.2.826.0.1.3680043.8.498.13335129881737731410081002627729200903</t>
  </si>
  <si>
    <t>1.2.826.0.1.3680043.8.498.13285315477543193167253671337881879897</t>
  </si>
  <si>
    <t>pd_tse_fs_tra_448_p4_s2_DRB</t>
  </si>
  <si>
    <t>*tseR2d1rr9</t>
  </si>
  <si>
    <t>ORIGINAL | PRIMARY | M | NORM | DRS | DIS2D | DRB | MFSPLIT</t>
  </si>
  <si>
    <t>0.2344 | 0.2344</t>
  </si>
  <si>
    <t>0.954079 | -0.283965 | -0.0953782 | 0.29625 | 0.941615 | 0.159993</t>
  </si>
  <si>
    <t>MAGNETOM Vida</t>
  </si>
  <si>
    <t>TxRx_Knee_18</t>
  </si>
  <si>
    <t>1.2.826.0.1.3680043.8.498.32243142107334417600044875429817861685</t>
  </si>
  <si>
    <t>int_tse_sag_p3_s2_2.5mm_drb_384</t>
  </si>
  <si>
    <t>*tseR2d1_9</t>
  </si>
  <si>
    <t>0.2214 | 0.2214</t>
  </si>
  <si>
    <t>384 | 0 | 0 | 288</t>
  </si>
  <si>
    <t>0.29122 | 0.943286 | 0.159384 | -0.0416166 | 0.178939 | -0.98298</t>
  </si>
  <si>
    <t>1.2.826.0.1.3680043.8.498.44481757782902229277198472340346791285</t>
  </si>
  <si>
    <t>int_tse_sag_fs_p3_s2_2.5mm_drb_384</t>
  </si>
  <si>
    <t>384 | 0 | 0 | 269</t>
  </si>
  <si>
    <t>1.2.826.0.1.3680043.8.498.68216362009231374856176479984344037705</t>
  </si>
  <si>
    <t>t1_tse_cor_s2p2_448_DRB</t>
  </si>
  <si>
    <t>0 | 320 | 270 | 0</t>
  </si>
  <si>
    <t>0.962038 | -0.252399 | -0.103818 | -0.0575135 | 0.184364 | -0.981174</t>
  </si>
  <si>
    <t>1.2.826.0.1.3680043.8.498.96243991448267206821172339346422614701</t>
  </si>
  <si>
    <t>pd_tse_fs_cor_320_p4_s2_DRB</t>
  </si>
  <si>
    <t>*tseR2d1_7</t>
  </si>
  <si>
    <t>0 | 320 | 202 | 0</t>
  </si>
  <si>
    <t>0.962034 | -0.252388 | -0.103881 | -0.0575748 | 0.18438 | -0.981167</t>
  </si>
  <si>
    <t>1.2.826.0.1.3680043.8.498.15593638897292057356864060466120253309</t>
  </si>
  <si>
    <t>1.2.826.0.1.3680043.8.498.10799479496416725407987323179903258953</t>
  </si>
  <si>
    <t>Cor T1 FSE</t>
  </si>
  <si>
    <t>FAST_GEMS | EDR_GEMS | TRF_GEMS | FILTERED_GEMS | ACC_GEMS | FSI_GEMS</t>
  </si>
  <si>
    <t>0.1563 | 0.1563</t>
  </si>
  <si>
    <t>0 | 412 | 256 | 0</t>
  </si>
  <si>
    <t>0.97284 | 0.22052 | 0.07038 | 0.06483 | 0.03232 | -0.99737</t>
  </si>
  <si>
    <t>SIGNA Artist</t>
  </si>
  <si>
    <t>29 | LX | DV29.1_R04_2313.a</t>
  </si>
  <si>
    <t>16Knee</t>
  </si>
  <si>
    <t>1.2.826.0.1.3680043.8.498.12836209270253860624540818250354794761</t>
  </si>
  <si>
    <t>Sag T2 FSE</t>
  </si>
  <si>
    <t>FAST_GEMS | FC_FREQ_AX_GEMS | FC | EDR_GEMS | TRF_GEMS | FILTERED_GEMS | ACC_GEMS | FSS_GEMS</t>
  </si>
  <si>
    <t>0 | 352 | 256 | 0</t>
  </si>
  <si>
    <t>0.03392 | 0.99902 | 0.02829 | 0.10578 | 0.02456 | -0.99409</t>
  </si>
  <si>
    <t>1.2.826.0.1.3680043.8.498.52431053584784925784510783478723202039</t>
  </si>
  <si>
    <t>Ax PD FSE FS</t>
  </si>
  <si>
    <t>FAST_GEMS | SAT_GEMS | EDR_GEMS | TRF_GEMS | FILTERED_GEMS | ACC_GEMS | FS | FSA_GEMS</t>
  </si>
  <si>
    <t>0 | 352 | 224 | 0</t>
  </si>
  <si>
    <t>0.97604 | 0.20036 | 0.08482 | -0.20264 | 0.97907 | 0.01916</t>
  </si>
  <si>
    <t>1.2.826.0.1.3680043.8.498.55399266565350183802077573346939446216</t>
  </si>
  <si>
    <t>Sag PD FSE FS</t>
  </si>
  <si>
    <t>FAST_GEMS | SAT_GEMS | EDR_GEMS | TRF_GEMS | FILTERED_GEMS | ACC_GEMS | FS | FSS_GEMS</t>
  </si>
  <si>
    <t>0 | 332 | 200 | 0</t>
  </si>
  <si>
    <t>1.2.826.0.1.3680043.8.498.73127499467939720527906202987466290278</t>
  </si>
  <si>
    <t>Cor PD FSE FS</t>
  </si>
  <si>
    <t>FAST_GEMS | SAT_GEMS | EDR_GEMS | TRF_GEMS | FILTERED_GEMS | ACC_GEMS | FS | FSI_GEMS</t>
  </si>
  <si>
    <t>1.2.826.0.1.3680043.8.498.16060119389060497136231217718921482192</t>
  </si>
  <si>
    <t>1.2.826.0.1.3680043.8.498.10114318007378072154267323023488130369</t>
  </si>
  <si>
    <t>FSE2D+11</t>
  </si>
  <si>
    <t>NONE</t>
  </si>
  <si>
    <t>FS | D03E1_5 | RP | I0_30</t>
  </si>
  <si>
    <t>0.2446 | 0.2446</t>
  </si>
  <si>
    <t>368 | 0 | 0 | 352</t>
  </si>
  <si>
    <t>-0.07532925 | 0.99715865 | 0.00043584 | -0.03436502 | -0.00215924 | -0.99940699</t>
  </si>
  <si>
    <t>CANON_MEC</t>
  </si>
  <si>
    <t>Galan 3T</t>
  </si>
  <si>
    <t>V6.3SP2001*</t>
  </si>
  <si>
    <t>16ch Knee</t>
  </si>
  <si>
    <t>1.2.826.0.1.3680043.8.498.10800916297806196226204914061473420340</t>
  </si>
  <si>
    <t>0.2009 | 0.2009</t>
  </si>
  <si>
    <t>0 | 448 | 448 | 0</t>
  </si>
  <si>
    <t>0.99717587 | 0.07494952 | -0.00478037 | -0.07437046 | 0.99432427 | 0.07608110</t>
  </si>
  <si>
    <t>1.2.826.0.1.3680043.8.498.11844032892710836502823802081213979899</t>
  </si>
  <si>
    <t>D03E1_5 | RP | I0_30</t>
  </si>
  <si>
    <t>384 | 0 | 0 | 384</t>
  </si>
  <si>
    <t>1.2.826.0.1.3680043.8.498.56489188975219855943731152460524612324</t>
  </si>
  <si>
    <t>368 | 0 | 0 | 384</t>
  </si>
  <si>
    <t>0.99647403 | 0.08367118 | -0.00621230 | -0.00848721 | 0.02686050 | -0.99960315</t>
  </si>
  <si>
    <t>1.2.826.0.1.3680043.8.498.75266919254774703903096233357689465742</t>
  </si>
  <si>
    <t>FSE2D+10</t>
  </si>
  <si>
    <t>0.2163 | 0.2163</t>
  </si>
  <si>
    <t>0 | 416 | 416 | 0</t>
  </si>
  <si>
    <t>1.2.826.0.1.3680043.8.498.82999681476036202881857678022765229979</t>
  </si>
  <si>
    <t>1.2.826.0.1.3680043.8.498.98361555428040875788860183899606219732</t>
  </si>
  <si>
    <t>1.2.826.0.1.3680043.8.498.17844546765907321649997094867791102711</t>
  </si>
  <si>
    <t>1.2.826.0.1.3680043.8.498.11261251202884490916489531421908521865</t>
  </si>
  <si>
    <t>DummySeriesDesc!</t>
  </si>
  <si>
    <t>FAST_GEMS | SAT_GEMS | EDR_GEMS | TRF_GEMS | FILTERED_GEMS | ACC_GEMS | SP | FSI_GEMS</t>
  </si>
  <si>
    <t>0.1465 | 0.1465</t>
  </si>
  <si>
    <t>0 | 512 | 256 | 0</t>
  </si>
  <si>
    <t>0.99323 | -0.11617 | 0.00000 | -0.00000 | -0.00000 | -1.00000</t>
  </si>
  <si>
    <t>SIGNA Architect</t>
  </si>
  <si>
    <t>30 | LX | SIGNA_LX1.MR30.1_R01B_2430.c</t>
  </si>
  <si>
    <t>18Knee</t>
  </si>
  <si>
    <t>1.2.826.0.1.3680043.8.498.12647596472796287171744368208436290003</t>
  </si>
  <si>
    <t>SS | SK</t>
  </si>
  <si>
    <t>FAST_GEMS | FC | SAT_GEMS | EDR_GEMS | HYPERSENSE_GEMS | FILTERED_GEMS | ACC_GEMS | PFP | SP</t>
  </si>
  <si>
    <t>3D</t>
  </si>
  <si>
    <t>0.11745 | 0.99295 | 0.01620 | 0.01707 | 0.01430 | -0.99975</t>
  </si>
  <si>
    <t>1.2.826.0.1.3680043.8.498.18449110770459991745936951397216109055</t>
  </si>
  <si>
    <t>FAST_GEMS | SAT_GEMS | EDR_GEMS | TRF_GEMS | ACC_GEMS | SP | FS | FSI_GEMS | FR_GEMS</t>
  </si>
  <si>
    <t>0 | 640 | 320 | 0</t>
  </si>
  <si>
    <t>0.99323 | -0.11618 | 0.00000 | -0.00000 | -0.00000 | -1.00000</t>
  </si>
  <si>
    <t>1.2.826.0.1.3680043.8.498.42927162914563423947167748937620376779</t>
  </si>
  <si>
    <t>FAST_GEMS | FC_SLICE_AX_GEMS | FC | SAT_GEMS | NPW | NP | EDR_GEMS | TRF_GEMS | FILTERED_GEMS | ACC_GEMS | SP | FS | FSA_GEMS | FR_GEMS</t>
  </si>
  <si>
    <t>0 | 484 | 340 | 0</t>
  </si>
  <si>
    <t>0.99147 | -0.13033 | 0.00266 | 0.13011 | 0.99066 | 0.04069</t>
  </si>
  <si>
    <t>1.2.826.0.1.3680043.8.498.43772087715797110907700007293827052431</t>
  </si>
  <si>
    <t>FAST_GEMS | SAT_GEMS | NPW | NP | EDR_GEMS | TRF_GEMS | FILTERED_GEMS | ACC_GEMS | SP | FS | FSP_GEMS | FR_GEMS</t>
  </si>
  <si>
    <t>452 | 0 | 0 | 320</t>
  </si>
  <si>
    <t>0.11800 | 0.99301 | 0.00000 | -0.00000 | -0.00000 | -1.00000</t>
  </si>
  <si>
    <t>1.2.826.0.1.3680043.8.498.50541620645720855824205648399443392422</t>
  </si>
  <si>
    <t>SQPIX_GEMS</t>
  </si>
  <si>
    <t>0 | 288 | 288 | 0</t>
  </si>
  <si>
    <t>0.15447 | 0.98800 | 0.00000 | -0.00000 | -0.00000 | -1.00000</t>
  </si>
  <si>
    <t>WRIST</t>
  </si>
  <si>
    <t>1.2.826.0.1.3680043.8.498.78694137355734392084709645092123826539</t>
  </si>
  <si>
    <t>SQPIX_GEMS | FILTERED_GEMS</t>
  </si>
  <si>
    <t>1.2.826.0.1.3680043.8.498.91788561458986377357724485302758393770</t>
  </si>
  <si>
    <t>512 | 0 | 0 | 340</t>
  </si>
  <si>
    <t>1.2.826.0.1.3680043.8.498.95606550916008567790627612199625980395</t>
  </si>
  <si>
    <t>FAST_GEMS | SAT_GEMS | EDR_GEMS | TRF_GEMS | FILTERED_GEMS | ACC_GEMS | SP | FS | FSI_GEMS | FR_GEMS</t>
  </si>
  <si>
    <t>1.2.826.0.1.3680043.8.498.18392509497170616983977319528036573378</t>
  </si>
  <si>
    <t>1.2.826.0.1.3680043.8.498.26020146442472659078480945124844158460</t>
  </si>
  <si>
    <t>t1_tse_cor_320</t>
  </si>
  <si>
    <t>*tse2d1_4</t>
  </si>
  <si>
    <t>ORIGINAL | PRIMARY | M | ND | NORM | FM | FIL</t>
  </si>
  <si>
    <t>0.703125 | 0.703125</t>
  </si>
  <si>
    <t>256 | 0 | 0 | 179</t>
  </si>
  <si>
    <t>0.98906351638401 | 0.14749020495645 | 2.9331957e-008 | 0.00100583311867 | -0.0067448784837 | -0.9999767471866</t>
  </si>
  <si>
    <t>1.2.826.0.1.3680043.8.498.30573310138109979980328563769756776360</t>
  </si>
  <si>
    <t>t2_pd_fs_TRA</t>
  </si>
  <si>
    <t>0.5625 | 0.5625</t>
  </si>
  <si>
    <t>320 | 0 | 0 | 262</t>
  </si>
  <si>
    <t>0.98628124284677 | 0.1650615926377 | 0.00199515526475 | -0.1650468444924 | 0.98626686065023 | -0.0061007135844</t>
  </si>
  <si>
    <t>1.2.826.0.1.3680043.8.498.47417363768929649365837124498379339352</t>
  </si>
  <si>
    <t>t1_tse_sag_320</t>
  </si>
  <si>
    <t>-0.1495354644128 | 0.98875636275214 | 0 | 0 | 0 | -1</t>
  </si>
  <si>
    <t>1.2.826.0.1.3680043.8.498.54971859142466406163844002076964794013</t>
  </si>
  <si>
    <t>*tse2d1_10</t>
  </si>
  <si>
    <t>-0.14953497327 | 0.98875643703045 | 4.409887e-009 | 0.00517357485107 | 0.00078243211161 | -0.9999863108679</t>
  </si>
  <si>
    <t>1.2.826.0.1.3680043.8.498.99983693114250264488966342808044947409</t>
  </si>
  <si>
    <t>1.2.826.0.1.3680043.8.498.22109739962224309418874538994436903404</t>
  </si>
  <si>
    <t>1.2.826.0.1.3680043.8.498.12149801966763404687544209324060987440</t>
  </si>
  <si>
    <t>PFP | SAT1</t>
  </si>
  <si>
    <t>0.96221524875747 | 0.27223960206444 | 0.00523585011305 | 0.00315617651593 | 0.00807645940488 | -0.9999624039699</t>
  </si>
  <si>
    <t>Biograph_mMR</t>
  </si>
  <si>
    <t>1.2.826.0.1.3680043.8.498.13067309220254856807615606366007869221</t>
  </si>
  <si>
    <t>*tse2d1_14</t>
  </si>
  <si>
    <t>PFP | SAT1 | FS</t>
  </si>
  <si>
    <t>320 | 0 | 0 | 272</t>
  </si>
  <si>
    <t>-0.2990415132274 | 0.95424010257725 | -1.4613171e-008 | -0.0008535974579 | -0.0002675172506 | -0.9999995999029</t>
  </si>
  <si>
    <t>1.2.826.0.1.3680043.8.498.48895343607454002164603680016381270063</t>
  </si>
  <si>
    <t>1.2.826.0.1.3680043.8.498.52627968695314286677230767737762639225</t>
  </si>
  <si>
    <t>SAG PD NON FS</t>
  </si>
  <si>
    <t>*tse2d1_8</t>
  </si>
  <si>
    <t>SAT1</t>
  </si>
  <si>
    <t>1.2.826.0.1.3680043.8.498.71247426330737891374731581744560399312</t>
  </si>
  <si>
    <t>PFP | FS</t>
  </si>
  <si>
    <t>0 | 256 | 205 | 0</t>
  </si>
  <si>
    <t>0.98228725175801 | 0.18738102379188 | 0.00032704191292 | -0.1873813091899 | 0.98228575564939 | 0.00171441377648</t>
  </si>
  <si>
    <t>1.2.826.0.1.3680043.8.498.25695966186129395049687747156570466645</t>
  </si>
  <si>
    <t>1.2.826.0.1.3680043.8.498.16014775672714479586841217424844144524</t>
  </si>
  <si>
    <t>0.265625 | 0.265625</t>
  </si>
  <si>
    <t>0.99989881801295 | -0.01422510936 | 1.188955618e-010 | 0.00118427214897 | 0.08324380315922 | -0.9965285077383</t>
  </si>
  <si>
    <t>1.2.826.0.1.3680043.8.498.36118508777211385472312430441958848682</t>
  </si>
  <si>
    <t>0.99984262786522 | -0.0177403354976 | -5.22390499e-011 | 0.00144653306147 | 0.08152638769071 | -0.9966701338217</t>
  </si>
  <si>
    <t>1.2.826.0.1.3680043.8.498.63466424699491742629609330316020998307</t>
  </si>
  <si>
    <t>1 | -2.0510349e-010 | 0 | 2.051034897e-010 | 1 | 0</t>
  </si>
  <si>
    <t>1.2.826.0.1.3680043.8.498.96414939296600703610899289700780546771</t>
  </si>
  <si>
    <t>0.41666666666667 | 0.41666666666667</t>
  </si>
  <si>
    <t>0 | 1 | 0 | 0 | 0 | -1</t>
  </si>
  <si>
    <t>1.2.826.0.1.3680043.8.498.26790702379506190936834447203448882465</t>
  </si>
  <si>
    <t>1.2.826.0.1.3680043.8.498.10841555934521578415607333181263233138</t>
  </si>
  <si>
    <t>0.35714286565780 | 0.35714286565780</t>
  </si>
  <si>
    <t>268 | 0 | 0 | 314</t>
  </si>
  <si>
    <t>1 | 0 | 0 | 0 | 1 | 0</t>
  </si>
  <si>
    <t>1.2.826.0.1.3680043.8.498.11361238702894937883953390052085014194</t>
  </si>
  <si>
    <t>0 | 268 | 293 | 0</t>
  </si>
  <si>
    <t>0.98839521408081 | -0.1519042104482 | 0 | 0 | 0 | -1</t>
  </si>
  <si>
    <t>1.2.826.0.1.3680043.8.498.76639110060009477040774057211843609294</t>
  </si>
  <si>
    <t>0.31124749779701 | 0.31124749779701</t>
  </si>
  <si>
    <t>0 | 320 | 301 | 0</t>
  </si>
  <si>
    <t>-0.2112555652856 | 0.97743088006973 | 0 | 0 | 0 | -1</t>
  </si>
  <si>
    <t>1.2.826.0.1.3680043.8.498.94882074570038908340209357507037939938</t>
  </si>
  <si>
    <t>0 | 268 | 314 | 0</t>
  </si>
  <si>
    <t>1.2.826.0.1.3680043.8.498.27437263843446879932281897446100134924</t>
  </si>
  <si>
    <t>1.2.826.0.1.3680043.8.498.17611332847226601740186107923664950771</t>
  </si>
  <si>
    <t>TRF_GEMS</t>
  </si>
  <si>
    <t>0 | 384 | 256 | 0</t>
  </si>
  <si>
    <t>0.999088 | -0.0426956 | -0.000640893 | 0.0426338 | 0.996478 | 0.0722059</t>
  </si>
  <si>
    <t>SIGNA EXCITE</t>
  </si>
  <si>
    <t>12 | LX | MR Software release:12.0_M5B_0846.d</t>
  </si>
  <si>
    <t>QUADKNEE</t>
  </si>
  <si>
    <t>1.2.826.0.1.3680043.8.498.40175815168544280787064836169050383117</t>
  </si>
  <si>
    <t>NPW | TRF_GEMS</t>
  </si>
  <si>
    <t>-0.0680259 | 0.997684 | 0 | -0 | -0 | -1</t>
  </si>
  <si>
    <t>1.2.826.0.1.3680043.8.498.47805453452773251051087617080685747579</t>
  </si>
  <si>
    <t>0.3711 | 0.3711</t>
  </si>
  <si>
    <t>0.993586 | -0.112765 | -0.00842305 | 0.00936925 | 0.156409 | -0.987648</t>
  </si>
  <si>
    <t>1.2.826.0.1.3680043.8.498.52966130058305317432166084275691469532</t>
  </si>
  <si>
    <t>SAT_GEMS | TRF_GEMS | FS</t>
  </si>
  <si>
    <t>1.2.826.0.1.3680043.8.498.57952016660464582538662197640603722688</t>
  </si>
  <si>
    <t>SAT_GEMS | NPW | TRF_GEMS | FS</t>
  </si>
  <si>
    <t>-0.068026 | 0.997684 | 0 | -0 | -0 | -1</t>
  </si>
  <si>
    <t>1.2.826.0.1.3680043.8.498.90127119301181531941224430342751992150</t>
  </si>
  <si>
    <t>1.2.826.0.1.3680043.8.498.93781959954444342274739507690603815285</t>
  </si>
  <si>
    <t>1.2.826.0.1.3680043.8.498.28925345859498351203477642741908452608</t>
  </si>
  <si>
    <t>1.2.826.0.1.3680043.8.498.11438210485488424020029704142703549114</t>
  </si>
  <si>
    <t>0.99483393925441 | -0.1015156801068 | -3.3913366e-008 | 0.00529719844951 | 0.051911849107 | -0.9986376217682</t>
  </si>
  <si>
    <t>1.2.826.0.1.3680043.8.498.48669435010734548926088990885351646056</t>
  </si>
  <si>
    <t>1.2.826.0.1.3680043.8.498.75206601760489455412268202126310236834</t>
  </si>
  <si>
    <t>-0.3140465005977 | 0.94940760238283 | 6.678445e-009 | 0.00436544171503 | 0.0014440145298 | -0.9999894288145</t>
  </si>
  <si>
    <t>1.2.826.0.1.3680043.8.498.88416925277894891378549723681135749833</t>
  </si>
  <si>
    <t>1.2.826.0.1.3680043.8.498.94669021678379211035121750893811429094</t>
  </si>
  <si>
    <t>0.98278213100654 | -0.1823864320645 | -0.0295714790467 | 0.18214792772698 | 0.98321410131497 | -0.0105907223629</t>
  </si>
  <si>
    <t>1.2.826.0.1.3680043.8.498.29764868091238287072166823522853419550</t>
  </si>
  <si>
    <t>1.2.826.0.1.3680043.8.498.10554209211078193916454348670841484936</t>
  </si>
  <si>
    <t>0 | 268 | 270 | 0</t>
  </si>
  <si>
    <t>0.24439774453639 | 0.96967250108718 | 0.00223398371599 | 0.00914038904011 | 6.4215327499E-11 | -0.9999582171440</t>
  </si>
  <si>
    <t>5.6.1 | 5.6.1.1</t>
  </si>
  <si>
    <t>1.2.826.0.1.3680043.8.498.77755509181820937582475082973876194850</t>
  </si>
  <si>
    <t>0 | 320 | 297 | 0</t>
  </si>
  <si>
    <t>1.2.826.0.1.3680043.8.498.92228187778325854441966465668223187813</t>
  </si>
  <si>
    <t>268 | 0 | 0 | 313</t>
  </si>
  <si>
    <t>0.99995821714401 | -1.156715074E-16 | 0.00914038904011 | 1.1454901678E-16 | 1 | 1.2332828828E-16</t>
  </si>
  <si>
    <t>1.2.826.0.1.3680043.8.498.93049579888925063520771775891465039949</t>
  </si>
  <si>
    <t>0.31449162960052 | 0.31449162960052</t>
  </si>
  <si>
    <t>0 | 268 | 286 | 0</t>
  </si>
  <si>
    <t>0.99749922752380 | -0.0700866207480 | 0.00911791156977 | 0.00914038904011 | 1.8382002517E-11 | -0.9999582171440</t>
  </si>
  <si>
    <t>1.2.826.0.1.3680043.8.498.30246079718471552972130572444383079911</t>
  </si>
  <si>
    <t>1.2.826.0.1.3680043.8.498.10125030789765676430404935648431987209</t>
  </si>
  <si>
    <t>R- CORPD FSE FS</t>
  </si>
  <si>
    <t>FAST_GEMS | FC_FREQ_AX_GEMS | FC | SAT_GEMS | NPW | NP | EDR_GEMS | TRF_GEMS | FILTERED_GEMS | ACC_GEMS | SP | FS | FSI_GEMS</t>
  </si>
  <si>
    <t>0 | 320 | 160 | 0</t>
  </si>
  <si>
    <t>0.9639687700119 | -0.2501121797725 | 0.0905986091023 | 0.1452553222768 | 0.2095773694029 | -0.9669427168061</t>
  </si>
  <si>
    <t>SIGNA Explorer</t>
  </si>
  <si>
    <t>27 | LX | MR Software release:SV25.2_R04_2127.a</t>
  </si>
  <si>
    <t>HD TRknee PA</t>
  </si>
  <si>
    <t>1.2.826.0.1.3680043.8.498.12908352013592575797593984722778976470</t>
  </si>
  <si>
    <t>R- Ax PD FSE FS</t>
  </si>
  <si>
    <t>FAST_GEMS | FC_SLICE_AX_GEMS | FC | SAT_GEMS | NPW | NP | EDR_GEMS | TRF_GEMS | FILTERED_GEMS | ACC_GEMS | FS | FSA_GEMS | FR_GEMS</t>
  </si>
  <si>
    <t>0 | 300 | 200 | 0</t>
  </si>
  <si>
    <t>0.9668680665651 | -0.2403852609280 | 0.0859131432624 | 0.2197545550637 | 0.9550308836599 | 0.1990576468878</t>
  </si>
  <si>
    <t>1.2.826.0.1.3680043.8.498.13364655615747190896475164649441911015</t>
  </si>
  <si>
    <t>R SAG T1 FSE</t>
  </si>
  <si>
    <t>FAST_GEMS | FC_FREQ_AX_GEMS | FC | NPW | NP | EDR_GEMS | TRF_GEMS | FILTERED_GEMS | FSP_GEMS</t>
  </si>
  <si>
    <t>320 | 0 | 0 | 160</t>
  </si>
  <si>
    <t>0.1875463605728 | 0.9583613915820 | 0.2153364942618 | 0.1327413700551 | 0.1924871436828 | -0.9722800153211</t>
  </si>
  <si>
    <t>1.2.826.0.1.3680043.8.498.73098240504448530683336388041967650671</t>
  </si>
  <si>
    <t>R- Sag PD FSE FS</t>
  </si>
  <si>
    <t>FAST_GEMS | FC_FREQ_AX_GEMS | FC | SAT_GEMS | NPW | NP | EDR_GEMS | TRF_GEMS | FILTERED_GEMS | SP | FS | FSP_GEMS</t>
  </si>
  <si>
    <t>300 | 0 | 0 | 160</t>
  </si>
  <si>
    <t>0.1875463605728 | 0.9583613915820 | 0.2153364942618 | 0.1327413810771 | 0.1924871433961 | -0.9722800138730</t>
  </si>
  <si>
    <t>1.2.826.0.1.3680043.8.498.75078392068446053207082784619084087737</t>
  </si>
  <si>
    <t>R Cor T1 FSE</t>
  </si>
  <si>
    <t>FAST_GEMS | FC_FREQ_AX_GEMS | FC | NPW | NP | EDR_GEMS | TRF_GEMS | FILTERED_GEMS | ACC_GEMS | FSI_GEMS</t>
  </si>
  <si>
    <t>0.9639686674646 | -0.2501123788332 | 0.0905991506637 | 0.1452558127855 | 0.2095771264279 | -0.9669426957841</t>
  </si>
  <si>
    <t>1.2.826.0.1.3680043.8.498.32321830776739689645700555055955725945</t>
  </si>
  <si>
    <t>1.2.826.0.1.3680043.8.498.11606608801399746595082769699005627633</t>
  </si>
  <si>
    <t>0.12328326948793 | 0.99237152088538 | -1.70888698e-008 | -0.0094325327997 | 0.00117179541183 | -0.9999548260899</t>
  </si>
  <si>
    <t>1.2.826.0.1.3680043.8.498.12475417103671366572286789031735364146</t>
  </si>
  <si>
    <t>0.97907977141097 | -0.2034767829848 | 7.242166297e-009 | 0.0058662540872 | 0.02822692293109 | -0.9995843275506</t>
  </si>
  <si>
    <t>1.2.826.0.1.3680043.8.498.49657487656121528921826247613085032325</t>
  </si>
  <si>
    <t>1.2.826.0.1.3680043.8.498.50913141053163525352129511543598198843</t>
  </si>
  <si>
    <t>0.36458333333333 | 0.36458333333333</t>
  </si>
  <si>
    <t>0.97349493499182 | -0.226810076675 | -0.0294074933296 | 0.22653937163323 | 0.97392464983867 | -0.0122755666525</t>
  </si>
  <si>
    <t>1.2.826.0.1.3680043.8.498.81084171603553369816257504401663206753</t>
  </si>
  <si>
    <t>0 | 320 | 179 | 0</t>
  </si>
  <si>
    <t>1.2.826.0.1.3680043.8.498.37040910196459054543310335064167212742</t>
  </si>
  <si>
    <t>1.2.826.0.1.3680043.8.498.11346752304545486573030012081876361522</t>
  </si>
  <si>
    <t>Ax T2 FS</t>
  </si>
  <si>
    <t>0.999412 | 0.0287499 | -0.0186657 | -0.0258007 | 0.989449 | 0.142563</t>
  </si>
  <si>
    <t>1.2.826.0.1.3680043.8.498.12399012553798337275965661635192029323</t>
  </si>
  <si>
    <t>-0.024361 | 0.999698 | 0.0032871 | -0.0191025 | 0.00282193 | -0.999814</t>
  </si>
  <si>
    <t>1.2.826.0.1.3680043.8.498.22306721889799850550972691123555559051</t>
  </si>
  <si>
    <t>0.998976 | 0.0379889 | -0.024577 | -0.0308195 | 0.173631 | -0.984328</t>
  </si>
  <si>
    <t>1.2.826.0.1.3680043.8.498.23174969622873816054521935098776352184</t>
  </si>
  <si>
    <t>-0.024361 | 0.999698 | 0.00328706 | -0.0191015 | 0.00282193 | -0.999814</t>
  </si>
  <si>
    <t>1.2.826.0.1.3680043.8.498.67342613844951530442958907069516033124</t>
  </si>
  <si>
    <t>-0.0243607 | 0.999698 | 0.0032871 | -0.019102 | 0.00282202 | -0.999814</t>
  </si>
  <si>
    <t>1.2.826.0.1.3680043.8.498.37392127307867238524251864751713143683</t>
  </si>
  <si>
    <t>1.2.826.0.1.3680043.8.498.10917225783091709760242231737882484221</t>
  </si>
  <si>
    <t>pd_tse_fs_cor_384</t>
  </si>
  <si>
    <t>*tseR2d1rr7</t>
  </si>
  <si>
    <t>PFP | FS | PER</t>
  </si>
  <si>
    <t>0 | 384 | 313 | 0</t>
  </si>
  <si>
    <t>0.995114 | -0.0253071 | 0.0954326 | 0.0943883 | -0.0396702 | -0.994745</t>
  </si>
  <si>
    <t>1.2.826.0.1.3680043.8.498.13144206930098313641221403308323266222</t>
  </si>
  <si>
    <t>pd_tse_fs_sag_384</t>
  </si>
  <si>
    <t>*tse2d1rr7</t>
  </si>
  <si>
    <t>384 | 0 | 0 | 230</t>
  </si>
  <si>
    <t>0.0766423 | 0.997046 | 0.00503776 | 0.0967124 | -0.00240523 | -0.995309</t>
  </si>
  <si>
    <t>1.2.826.0.1.3680043.8.498.36923468181159701148339847602169721829</t>
  </si>
  <si>
    <t>t1_tse_sag_384</t>
  </si>
  <si>
    <t>*tse2d1_2</t>
  </si>
  <si>
    <t>0.0766423 | 0.997046 | 0.00503776 | 0.0967125 | -0.00240524 | -0.995309</t>
  </si>
  <si>
    <t>1.2.826.0.1.3680043.8.498.43759038523990610121401841788711871477</t>
  </si>
  <si>
    <t>pd_tse_cor_384</t>
  </si>
  <si>
    <t>0 | 384 | 230 | 0</t>
  </si>
  <si>
    <t>1.2.826.0.1.3680043.8.498.62241028832981711826910629867693998502</t>
  </si>
  <si>
    <t>0.5125 | 0.5125</t>
  </si>
  <si>
    <t>0 | 320 | 210 | 0</t>
  </si>
  <si>
    <t>0.991991 | -0.0721495 | 0.103673 | 0.0712808 | 0.997383 | 0.0120645</t>
  </si>
  <si>
    <t>1.2.826.0.1.3680043.8.498.98731195323707035334319062242085912044</t>
  </si>
  <si>
    <t>t2_tse_bond_416</t>
  </si>
  <si>
    <t>*tseR2d1_15</t>
  </si>
  <si>
    <t>0.384615 | 0.384615</t>
  </si>
  <si>
    <t>0 | 416 | 291 | 0</t>
  </si>
  <si>
    <t>0.988177 | -0.0531619 | 0.143804 | 0.0879132 | -0.571962 | -0.815555</t>
  </si>
  <si>
    <t>1.2.826.0.1.3680043.8.498.39500553372517290823815606829518305500</t>
  </si>
  <si>
    <t>1.2.826.0.1.3680043.8.498.10681444947500103079455959043947277778</t>
  </si>
  <si>
    <t>0.9741138644504 | 0.20667295023121 | -0.0915885949681 | -0.2082985110381 | 0.97802875399855 | -0.0084549779044</t>
  </si>
  <si>
    <t>1.2.826.0.1.3680043.8.498.12798253935401276011357924521785184170</t>
  </si>
  <si>
    <t>0.97451689004262 | 0.19126735365111 | -0.1171905732086 | -0.1146885561218 | -0.0241388887065 | -0.993108175954</t>
  </si>
  <si>
    <t>1.2.826.0.1.3680043.8.498.33500735563674808256834776499303611578</t>
  </si>
  <si>
    <t>-0.328223240357 | 0.94371247151559 | -0.0409423447729 | -0.0876355286793 | -0.0735790129143 | -0.9934314988824</t>
  </si>
  <si>
    <t>1.2.826.0.1.3680043.8.498.48864168281440917690854528188298055620</t>
  </si>
  <si>
    <t>1.2.826.0.1.3680043.8.498.71452782593498755829744891501612633384</t>
  </si>
  <si>
    <t>-0.3282232607195 | 0.94371246524035 | -0.040942326175 | -0.0876356499348 | -0.0735790373469 | -0.9934314863762</t>
  </si>
  <si>
    <t>1.2.826.0.1.3680043.8.498.82974765841728936940022510908107307256</t>
  </si>
  <si>
    <t>1.2.826.0.1.3680043.8.498.41600498783384864111179175518614837125</t>
  </si>
  <si>
    <t>1.2.826.0.1.3680043.8.498.11820289040357912936136362656225665229</t>
  </si>
  <si>
    <t>320 | 0 | 0 | 279</t>
  </si>
  <si>
    <t>0.99435067176818 | -0.0068799126893 | -0.1059214696288 | -0.1057878136634 | 0.01752507127821 | -0.9942342638969</t>
  </si>
  <si>
    <t>1.2.826.0.1.3680043.8.498.13126694251861399147854858979559961819</t>
  </si>
  <si>
    <t>0 | 320 | 276 | 0</t>
  </si>
  <si>
    <t>0.99435067176818 | -0.0068799126893 | -0.1059214696288 | 0.00869652628898 | 0.99982273578643 | 0.01669825613498</t>
  </si>
  <si>
    <t>1.2.826.0.1.3680043.8.498.21445139509346804994276778291771624587</t>
  </si>
  <si>
    <t>0.00869652628898 | 0.99982273578643 | 0.01669825613498 | -0.1057878136634 | 0.01752507127821 | -0.9942342638969</t>
  </si>
  <si>
    <t>1.2.826.0.1.3680043.8.498.38602207790788091034135185103333685601</t>
  </si>
  <si>
    <t>400 | 0 | 0 | 322</t>
  </si>
  <si>
    <t>1.2.826.0.1.3680043.8.498.42449379145780158531187185761913058425</t>
  </si>
  <si>
    <t>1.2.826.0.1.3680043.8.498.47315351394611962803774570823362200495</t>
  </si>
  <si>
    <t>1.2.826.0.1.3680043.8.498.57797094265453935520307311548726835230</t>
  </si>
  <si>
    <t>1.2.826.0.1.3680043.8.498.70705781485540922615088403114952666938</t>
  </si>
  <si>
    <t>0.99435067176818 | -0.0068799140863 | -0.1059214770793 | -0.0873818174004 | -0.6195671558380 | -0.7800647020339</t>
  </si>
  <si>
    <t>1.2.826.0.1.3680043.8.498.47921753480592595198052407850568677187</t>
  </si>
  <si>
    <t>1.2.826.0.1.3680043.8.498.11132163689159405062570165604773563273</t>
  </si>
  <si>
    <t>L- CORPD FSE FS</t>
  </si>
  <si>
    <t>FAST_GEMS | FC_FREQ_AX_GEMS | FC | SAT_GEMS | EDR_GEMS | TRF_GEMS | FILTERED_GEMS | ACC_GEMS | SP | FS | FSI_GEMS</t>
  </si>
  <si>
    <t>0.7422 | 0.7422</t>
  </si>
  <si>
    <t>0 | 200 | 160 | 0</t>
  </si>
  <si>
    <t>0.9737031345771 | 0.2277370673341 | 0.0061671611624 | 0.0017028808467 | 0.0197938616429 | -0.9998026321420</t>
  </si>
  <si>
    <t>1.2.826.0.1.3680043.8.498.47044501123729808256032287793135859318</t>
  </si>
  <si>
    <t>L Cor T1 FSE</t>
  </si>
  <si>
    <t>FAST_GEMS | FC_FREQ_AX_GEMS | FC | EDR_GEMS | TRF_GEMS | FILTERED_GEMS | ACC_GEMS | FSI_GEMS</t>
  </si>
  <si>
    <t>0.9737030907149 | 0.2277372587241 | 0.0061670188180 | 0.0017027011160 | 0.0197943043820 | -0.9998026236828</t>
  </si>
  <si>
    <t>1.2.826.0.1.3680043.8.498.52680589140665925020263574237350014176</t>
  </si>
  <si>
    <t>L- Ax PD FSE FS</t>
  </si>
  <si>
    <t>FAST_GEMS | FC_SLICE_AX_GEMS | FC | SAT_GEMS | EDR_GEMS | TRF_GEMS | FILTERED_GEMS | ACC_GEMS | FS | FSL_GEMS | FR_GEMS</t>
  </si>
  <si>
    <t>200 | 0 | 0 | 160</t>
  </si>
  <si>
    <t>0.9861130085206 | 0.1660391408387 | 0.0034839827791 | -0.1660589177189 | 0.9854985238499 | 0.0348868934670</t>
  </si>
  <si>
    <t>1.2.826.0.1.3680043.8.498.54686691624613803504966202537891841078</t>
  </si>
  <si>
    <t>L- Sag PD FSE FS</t>
  </si>
  <si>
    <t>-0.2524015321748 | 0.9676104879691 | -0.0048384013843 | -0.0134970817939 | -0.0085205079628 | -0.9998726067490</t>
  </si>
  <si>
    <t>1.2.826.0.1.3680043.8.498.69542398721543718229644391277314854342</t>
  </si>
  <si>
    <t>L sag T1 FSE</t>
  </si>
  <si>
    <t>FAST_GEMS | FC_FREQ_AX_GEMS | FC | SAT_GEMS | NPW | NP | EDR_GEMS | TRF_GEMS | FILTERED_GEMS | SP | FSP_GEMS</t>
  </si>
  <si>
    <t>-0.2524014945782 | 0.9676104977760 | -0.0048384014333 | -0.0134970817939 | -0.0085205079628 | -0.9998726067490</t>
  </si>
  <si>
    <t>1.2.826.0.1.3680043.8.498.48348615349418615469875801439348424274</t>
  </si>
  <si>
    <t>1.2.826.0.1.3680043.8.498.10225164441214828116709169975834166227</t>
  </si>
  <si>
    <t>0.999116 | 0.0391862 | -0.015203 | -0.0379988 | 0.996696 | 0.0717911</t>
  </si>
  <si>
    <t>1.2.826.0.1.3680043.8.498.11341617802848274596509422018595940673</t>
  </si>
  <si>
    <t>0.996837 | 0.0794681 | 3.08983e-09 | -0.00502579 | 0.0630429 | -0.997998</t>
  </si>
  <si>
    <t>1.2.826.0.1.3680043.8.498.14477678774712126060440341154300476721</t>
  </si>
  <si>
    <t>0.0800379 | 0.996792 | 1.60985e-09 | 0.0652938 | -0.0052428 | -0.997852</t>
  </si>
  <si>
    <t>1.2.826.0.1.3680043.8.498.34236568294478626291652935651911222474</t>
  </si>
  <si>
    <t>0.996837 | 0.0794681 | 5.42322e-10 | -0.00502579 | 0.0630429 | -0.997998</t>
  </si>
  <si>
    <t>1.2.826.0.1.3680043.8.498.76119594349644984197513470829331200414</t>
  </si>
  <si>
    <t>0.425 | 0.425</t>
  </si>
  <si>
    <t>1.2.826.0.1.3680043.8.498.48946580946665031852355005294734101132</t>
  </si>
  <si>
    <t>1.2.826.0.1.3680043.8.498.11236565374022897997382241900647492488</t>
  </si>
  <si>
    <t>COR PD L</t>
  </si>
  <si>
    <t>0.30357143282890 | 0.30357143282890</t>
  </si>
  <si>
    <t>0 | 380 | 218 | 0</t>
  </si>
  <si>
    <t>0.99179261922836 | 0.09913877397775 | 0.08073970675468 | 0.08003744482994 | 0.01104705967009 | -0.9967306256294</t>
  </si>
  <si>
    <t>syngo MR</t>
  </si>
  <si>
    <t>MULTI COIL</t>
  </si>
  <si>
    <t>1.2.826.0.1.3680043.8.498.25623620215370725395931151899931839246</t>
  </si>
  <si>
    <t>AX T2 SPIR L</t>
  </si>
  <si>
    <t>FS | SP | FC</t>
  </si>
  <si>
    <t>0 | 256 | 160 | 0</t>
  </si>
  <si>
    <t>0.99179261922836 | 0.09913877397775 | 0.08073970675468 | -0.0997065901756 | 0.99501228332519 | 0.00302157807163</t>
  </si>
  <si>
    <t>1.2.826.0.1.3680043.8.498.31457592019990349918394410240358497641</t>
  </si>
  <si>
    <t>SAG 3D_VIEW_PD_SPAIR_HR L</t>
  </si>
  <si>
    <t>FS | PFP</t>
  </si>
  <si>
    <t>0.28145694732666 | 0.28145694732666</t>
  </si>
  <si>
    <t>0 | 212 | 227 | 0</t>
  </si>
  <si>
    <t>-0.0997065901756 | 0.99501228332519 | 0.00302157807163 | 0.08003744482994 | 0.01104705967009 | -0.9967306256294</t>
  </si>
  <si>
    <t>1.2.826.0.1.3680043.8.498.71137653521806972309735604555464864164</t>
  </si>
  <si>
    <t>SAG PD L</t>
  </si>
  <si>
    <t>0.26490065455436 | 0.26490065455436</t>
  </si>
  <si>
    <t>324 | 0 | 0 | 270</t>
  </si>
  <si>
    <t>1.2.826.0.1.3680043.8.498.54977581323931277817074741182670080450</t>
  </si>
  <si>
    <t>1.2.826.0.1.3680043.8.498.11345399253439035137437756589936443385</t>
  </si>
  <si>
    <t>0.98028638742623 | -0.131100443636 | 0.14782175856515 | 0.13720110993675 | -0.0866936719984 | -0.9867421459873</t>
  </si>
  <si>
    <t>1.2.826.0.1.3680043.8.498.18709751104038684569603044904800357655</t>
  </si>
  <si>
    <t>0.97293467738845 | -0.1536452161574 | 0.17260145157842 | 0.16263885928489 | 0.98590877797393 | -0.0391469406781</t>
  </si>
  <si>
    <t>1.2.826.0.1.3680043.8.498.57422781906807036056285204418650818704</t>
  </si>
  <si>
    <t>1.2.826.0.1.3680043.8.498.71042574996097068332053264058857876735</t>
  </si>
  <si>
    <t>0.29578379254055 | 0.95346769938035 | -0.058406286551 | 0.14901193988313 | -0.1064471386663 | -0.983089237273</t>
  </si>
  <si>
    <t>1.2.826.0.1.3680043.8.498.80377175672460372451948006708970551356</t>
  </si>
  <si>
    <t>0.29578380402103 | 0.95346769703392 | -0.0584062667159 | 0.14901184977489 | -0.1064470934545 | -0.9830892558266</t>
  </si>
  <si>
    <t>1.2.826.0.1.3680043.8.498.56512564464301544960446419143135447363</t>
  </si>
  <si>
    <t>1.2.826.0.1.3680043.8.498.10759295590848082080643815881145133309</t>
  </si>
  <si>
    <t>-0.0994584 | 0.995042 | 0 | -0 | -0 | -1</t>
  </si>
  <si>
    <t>1.2.826.0.1.3680043.8.498.11783414490291628033336129717491807486</t>
  </si>
  <si>
    <t>0.998016 | 0.0629596 | -0.00064089 | -0.0627455 | 0.995414 | 0.0722062</t>
  </si>
  <si>
    <t>1.2.826.0.1.3680043.8.498.12763175123567033737900718908091633013</t>
  </si>
  <si>
    <t>0.998016 | 0.0629596 | -0.000640911 | -0.0627455 | 0.995414 | 0.0722062</t>
  </si>
  <si>
    <t>1.2.826.0.1.3680043.8.498.54535610302647039407009910528489667982</t>
  </si>
  <si>
    <t>0.993918 | 0.109805 | -0.00842303 | -0.0254526 | 0.154608 | -0.987648</t>
  </si>
  <si>
    <t>1.2.826.0.1.3680043.8.498.78093385660449749624663646675509261313</t>
  </si>
  <si>
    <t>1.2.826.0.1.3680043.8.498.82186342010103351687900684476818686965</t>
  </si>
  <si>
    <t>1.2.826.0.1.3680043.8.498.86938268768367335626610279260067777964</t>
  </si>
  <si>
    <t>1.2.826.0.1.3680043.8.498.59483999067816153759785789654766826710</t>
  </si>
  <si>
    <t>1.2.826.0.1.3680043.8.498.10375380880125329105761253769836090010</t>
  </si>
  <si>
    <t>-0.0115937565775 | 0.99992220085047 | 0.00460185340415 | -0.1185393569149 | 0.00319531585224 | -0.9929442133467</t>
  </si>
  <si>
    <t>1.2.826.0.1.3680043.8.498.11859248126982879450686005962936401654</t>
  </si>
  <si>
    <t>-0.0229470418154 | 0.9997306501432 | 0.00347281386814 | -0.2196592380881 | -0.0016529836621 | -0.9755752594072</t>
  </si>
  <si>
    <t>1.2.826.0.1.3680043.8.498.12242638868108603533719665359578887020</t>
  </si>
  <si>
    <t>1.2.826.0.1.3680043.8.498.13025502148523091259027913261486376465</t>
  </si>
  <si>
    <t>380 | 0 | 0 | 291</t>
  </si>
  <si>
    <t>0.03706951168168 | 0.9993078284155 | -0.0031169490164 | -0.135463295737 | 0.00193468512622 | -0.9907804764434</t>
  </si>
  <si>
    <t>1.2.826.0.1.3680043.8.498.29846587191183567670535184626018287451</t>
  </si>
  <si>
    <t>0.98622593702151 | 0.04607756647114 | -0.1588560953005 | -0.1630043367464 | 0.10775925911351 | -0.9807229620423</t>
  </si>
  <si>
    <t>1.2.826.0.1.3680043.8.498.38075577006651268414942662802300197372</t>
  </si>
  <si>
    <t>0 | 356 | 279 | 0</t>
  </si>
  <si>
    <t>1.2.826.0.1.3680043.8.498.42984443688705446568460402049197716512</t>
  </si>
  <si>
    <t>0 | 356 | 270 | 0</t>
  </si>
  <si>
    <t>0.98696825528792 | -0.0382499398967 | -0.1563029275215 | 0.06601396832937 | 0.98208260262079 | 0.17651038953834</t>
  </si>
  <si>
    <t>1.2.826.0.1.3680043.8.498.62465595376489211274225312453216559395</t>
  </si>
  <si>
    <t>1.2.826.0.1.3680043.8.498.10490923445995430496946166111818528271</t>
  </si>
  <si>
    <t>t2_tirm_tra R</t>
  </si>
  <si>
    <t>*tir2d1_12</t>
  </si>
  <si>
    <t>0.997802 | -0.0652344 | 0.0116735 | 0.0652245 | 0.99787 | 0.00123211</t>
  </si>
  <si>
    <t>MAGNETOM Skyra</t>
  </si>
  <si>
    <t>1.2.826.0.1.3680043.8.498.12524480704368639096451209748649813465</t>
  </si>
  <si>
    <t>pd_tse_cor R</t>
  </si>
  <si>
    <t>384 | 0 | 0 | 346</t>
  </si>
  <si>
    <t>0.998964 | 0.0398723 | 0.0219501 | 0.0220332 | -0.00164615 | -0.999756</t>
  </si>
  <si>
    <t>1.2.826.0.1.3680043.8.498.59400018247623467195394787723432499465</t>
  </si>
  <si>
    <t>pd_tse_fs_sag R</t>
  </si>
  <si>
    <t>-7.10599e-05 | 1 | 7.185e-12 | 0.041055 | 2.91737e-06 | -0.999157</t>
  </si>
  <si>
    <t>1.2.826.0.1.3680043.8.498.80088218471450943607980716401104656630</t>
  </si>
  <si>
    <t>pd_tse_sag R</t>
  </si>
  <si>
    <t>-7.10339e-05 | 1 | 1.86242e-09 | 0.0410549 | 2.91815e-06 | -0.999157</t>
  </si>
  <si>
    <t>1.2.826.0.1.3680043.8.498.62549354677638403845904556149868367236</t>
  </si>
  <si>
    <t>1.2.826.0.1.3680043.8.498.18194661389225439596589076323105764635</t>
  </si>
  <si>
    <t>0.989679 | -0.10603 | -0.096399 | -0.0868992 | 0.0908413 | -0.992067</t>
  </si>
  <si>
    <t>1.2.826.0.1.3680043.8.498.64064664993094542843040674366148501286</t>
  </si>
  <si>
    <t>1.2.826.0.1.3680043.8.498.69443004644346250053604983692181738675</t>
  </si>
  <si>
    <t>0.986887 | -0.137927 | -0.0838423 | 0.144499 | 0.986415 | 0.0781375</t>
  </si>
  <si>
    <t>1.2.826.0.1.3680043.8.498.81892732695419468989322862582884021558</t>
  </si>
  <si>
    <t>0.138372 | 0.987393 | 0.0768668 | -0.0870506 | 0.0894387 | -0.992181</t>
  </si>
  <si>
    <t>1.2.826.0.1.3680043.8.498.98515298626079372374618896434085510643</t>
  </si>
  <si>
    <t>1.2.826.0.1.3680043.8.498.64408609256163127278435484217683272910</t>
  </si>
  <si>
    <t>1.2.826.0.1.3680043.8.498.23609666423015538837767166347369729212</t>
  </si>
  <si>
    <t>PDW_</t>
  </si>
  <si>
    <t>0 | 268 | 240 | 0</t>
  </si>
  <si>
    <t>0.99353158473968 | -0.1135332584381 | 0.00228163623251 | 0.00034710645559 | -0.0170561727136 | -0.9998544454574</t>
  </si>
  <si>
    <t>5.3.1 | 5.3.1.3</t>
  </si>
  <si>
    <t>1.2.826.0.1.3680043.8.498.27195687106566182788779817031043206458</t>
  </si>
  <si>
    <t>PDW_SPIR</t>
  </si>
  <si>
    <t>0.33333334326744 | 0.33333334326744</t>
  </si>
  <si>
    <t>228 | 0 | 0 | 215</t>
  </si>
  <si>
    <t>0.11355565488338 | 0.99338775873184 | -0.0169064383953 | 0.00034710645559 | -0.0170561727136 | -0.9998544454574</t>
  </si>
  <si>
    <t>1.2.826.0.1.3680043.8.498.36393041690910660528146908425612939726</t>
  </si>
  <si>
    <t>PDW_SPAIR</t>
  </si>
  <si>
    <t>1.2.826.0.1.3680043.8.498.40051854759647629267374762012274626762</t>
  </si>
  <si>
    <t>0 | 260 | 256 | 0</t>
  </si>
  <si>
    <t>1.2.826.0.1.3680043.8.498.84023125357692769372781062011831612118</t>
  </si>
  <si>
    <t>1.2.826.0.1.3680043.8.498.91711982512971905574842011692644557600</t>
  </si>
  <si>
    <t>0 | 228 | 224 | 0</t>
  </si>
  <si>
    <t>0.99353158473968 | -0.1135332584381 | 0.00228163623251 | 0.11355565488338 | 0.99338775873184 | -0.0169064383953</t>
  </si>
  <si>
    <t>1.2.826.0.1.3680043.8.498.64703506772167798469048460791472465039</t>
  </si>
  <si>
    <t>1.2.826.0.1.3680043.8.498.11346458840980855602023845654340426652</t>
  </si>
  <si>
    <t>FAST_GEMS | SAT_GEMS | TRF_GEMS | FILTERED_GEMS | SP | FSS_GEMS</t>
  </si>
  <si>
    <t>0.166 | 0.166</t>
  </si>
  <si>
    <t>0 | 512 | 224 | 0</t>
  </si>
  <si>
    <t>0.06841718 | 0.9976235 | 0.008150213 | -0.012556637 | 0.009029793 | -0.9998804</t>
  </si>
  <si>
    <t>28 | LX | MR Software release:DV28.1_R02_2002.a</t>
  </si>
  <si>
    <t>1.2.826.0.1.3680043.8.498.51087602398228796162207544837869472387</t>
  </si>
  <si>
    <t>AX PD FS</t>
  </si>
  <si>
    <t>FAST_GEMS | SAT_GEMS | TRF_GEMS | FILTERED_GEMS | SP | FS | FSL_GEMS</t>
  </si>
  <si>
    <t>0.9972168 | -0.07385478 | -0.010203904 | 0.073881336 | 0.9972645 | 0.0022521317</t>
  </si>
  <si>
    <t>1.2.826.0.1.3680043.8.498.61714171918691444339892175338123390353</t>
  </si>
  <si>
    <t>COR PD FS</t>
  </si>
  <si>
    <t>FAST_GEMS | FC_FREQ_AX_GEMS | FC | SAT_GEMS | EDR_GEMS | TRF_GEMS | FILTERED_GEMS | SP | FS | FSI_GEMS</t>
  </si>
  <si>
    <t>0.99325186 | -0.115925185 | 0.0034756379 | 0.0068980944 | 0.029135041 | -0.99955165</t>
  </si>
  <si>
    <t>1.2.826.0.1.3680043.8.498.81574602288546285059782020305861974509</t>
  </si>
  <si>
    <t>FAST_GEMS | SAT_GEMS | NPW | NP | EDR_GEMS | TRF_GEMS | FILTERED_GEMS | SP | FS | FSS_GEMS | FR_GEMS</t>
  </si>
  <si>
    <t>0.06841711 | 0.9976235 | 0.008150016 | -0.01255705 | 0.0090296 | -0.9998804</t>
  </si>
  <si>
    <t>1.2.826.0.1.3680043.8.498.65708905118633339771181857781063784327</t>
  </si>
  <si>
    <t>1.2.826.0.1.3680043.8.498.10112084932780945304334720849038611105</t>
  </si>
  <si>
    <t>LT.SAG PDW_TSE_SPAIR</t>
  </si>
  <si>
    <t>0.35416665673255 | 0.35416665673255</t>
  </si>
  <si>
    <t>340 | 0 | 0 | 340</t>
  </si>
  <si>
    <t>0.10554469376802 | 0.99122357368469 | 0.07960024476051 | 0.10022819042205 | 0.06903588026762 | -0.9925665259361</t>
  </si>
  <si>
    <t>Ingenia Ambition X</t>
  </si>
  <si>
    <t>5.7.1 | 5.7.1.2</t>
  </si>
  <si>
    <t>1.2.826.0.1.3680043.8.498.12032322953692219076472026507143127816</t>
  </si>
  <si>
    <t>LT.COR_T2W_TSE</t>
  </si>
  <si>
    <t>0 | 424 | 372 | 0</t>
  </si>
  <si>
    <t>0.99571812152862 | 0.00836596544831 | 0.09206217527389 | 0.09109268337488 | 0.08070790767669 | -0.9925665259361</t>
  </si>
  <si>
    <t>1.2.826.0.1.3680043.8.498.21843429508246691434979351478111058980</t>
  </si>
  <si>
    <t>LT.COR_T1W_TSE</t>
  </si>
  <si>
    <t>0.33203125 | 0.33203125</t>
  </si>
  <si>
    <t>0 | 452 | 376 | 0</t>
  </si>
  <si>
    <t>1.2.826.0.1.3680043.8.498.49386996151147572908458775202466876717</t>
  </si>
  <si>
    <t>LT.COR PDW_TSE_SPAIR</t>
  </si>
  <si>
    <t>0 | 340 | 301 | 0</t>
  </si>
  <si>
    <t>1.2.826.0.1.3680043.8.498.51563509636661462327570594061418684481</t>
  </si>
  <si>
    <t>LT.SAG_T1W_TSE</t>
  </si>
  <si>
    <t>380 | 0 | 0 | 378</t>
  </si>
  <si>
    <t>1.2.826.0.1.3680043.8.498.56213382323594894691466276669580439777</t>
  </si>
  <si>
    <t>LT.AX_T1W_TSE</t>
  </si>
  <si>
    <t>0.22510793805122 | 0.22510793805122</t>
  </si>
  <si>
    <t>0 | 432 | 432 | 0</t>
  </si>
  <si>
    <t>0.98708987236022 | 0.13106536865234 | 0.09206217527389 | -0.1384984999895 | 0.98715853691101 | 0.07960024476051</t>
  </si>
  <si>
    <t>1.2.826.0.1.3680043.8.498.71557939123642455232655031941705135396</t>
  </si>
  <si>
    <t>LT.AX T2W_SPAIR</t>
  </si>
  <si>
    <t>0.30696535110473 | 0.30696535110473</t>
  </si>
  <si>
    <t>0 | 324 | 291 | 0</t>
  </si>
  <si>
    <t>1.2.826.0.1.3680043.8.498.92147481871714610682850878585264526684</t>
  </si>
  <si>
    <t>LT.OBL_ACLT2W_FS</t>
  </si>
  <si>
    <t>0 | 300 | 239 | 0</t>
  </si>
  <si>
    <t>0.99968981742858 | -0.0174349602311 | 0.01778456196188 | 0.00540302740409 | -0.5452587604522 | -0.8382503986358</t>
  </si>
  <si>
    <t>1.2.826.0.1.3680043.8.498.97696974527730079320598103981406049807</t>
  </si>
  <si>
    <t>LT.SAG_T2W_TSE</t>
  </si>
  <si>
    <t>424 | 0 | 0 | 372</t>
  </si>
  <si>
    <t>1.2.826.0.1.3680043.8.498.67188121544063723837669983597453941774</t>
  </si>
  <si>
    <t>1.2.826.0.1.3680043.8.498.10345232795159127591934880165802825806</t>
  </si>
  <si>
    <t>0.9466428780772 | -0.3068558381917 | -0.0985228702045 | -0.0975309685187 | 0.0186049614249 | -0.9950585739494</t>
  </si>
  <si>
    <t>1.2.826.0.1.3680043.8.498.11649991991434619892200264178265226078</t>
  </si>
  <si>
    <t>0.7813 | 0.7813</t>
  </si>
  <si>
    <t>192 | 0 | 0 | 160</t>
  </si>
  <si>
    <t>-0.0218280393066 | 0.9993843031163 | 0.0274690987247 | -0.1091973080721 | 0.0249279777556 | -0.9937074739755</t>
  </si>
  <si>
    <t>1.2.826.0.1.3680043.8.498.45473142305062485127856603480622246355</t>
  </si>
  <si>
    <t>-0.0218280202423 | 0.9993843035324 | 0.0274690987361 | -0.1091972892260 | 0.0249279778075 | -0.9937074760452</t>
  </si>
  <si>
    <t>1.2.826.0.1.3680043.8.498.59804260281664430062718879115288801162</t>
  </si>
  <si>
    <t>0.9466428722451 | -0.3068558563786 | -0.0985228695975 | -0.0975309685187 | 0.0186049614249 | -0.9950585739494</t>
  </si>
  <si>
    <t>1.2.826.0.1.3680043.8.498.91288640121632138425669406741773825040</t>
  </si>
  <si>
    <t>0.9552270326142 | -0.2802642953308 | -0.0948326996658 | 0.2819043263901 | 0.9594338143548 | 0.0040873750995</t>
  </si>
  <si>
    <t>1.2.826.0.1.3680043.8.498.69392348385274125385290015404144639002</t>
  </si>
  <si>
    <t>1.2.826.0.1.3680043.8.498.11123390324500982887746672322677258218</t>
  </si>
  <si>
    <t>0.99445647001266 | -0.0564700588583 | 0.08869857341051 | 0.09333706647157 | 0.08562953770160 | -0.9919454455375</t>
  </si>
  <si>
    <t>1.2.826.0.1.3680043.8.498.16539998982255496119019092775291142745</t>
  </si>
  <si>
    <t>0.99429380893707 | -0.0576893687248 | 0.08973184227943 | 0.04844435304403 | 0.99360430240631 | 0.10199819505214</t>
  </si>
  <si>
    <t>1.2.826.0.1.3680043.8.498.25777248294420762596105146956596348317</t>
  </si>
  <si>
    <t>0.14581878483295 | 0.98929774761199 | 0.00518689770251 | -0.0152694405987 | 0.00749291013926 | -0.9998553395271</t>
  </si>
  <si>
    <t>1.2.826.0.1.3680043.8.498.29181677329774151528489913812825347708</t>
  </si>
  <si>
    <t>1.2.826.0.1.3680043.8.498.31915355409765508591693593249464421115</t>
  </si>
  <si>
    <t>0.99356096982955 | -0.0631461516022 | 0.09406986087560 | 0.04831756278872 | 0.98715013265609 | 0.15231540799140</t>
  </si>
  <si>
    <t>1.2.826.0.1.3680043.8.498.79225807496183598139611165476901586908</t>
  </si>
  <si>
    <t>1.2.826.0.1.3680043.8.498.72853333220043794904856138561095171921</t>
  </si>
  <si>
    <t>1.2.826.0.1.3680043.8.498.12116336645372311899794252097467067713</t>
  </si>
  <si>
    <t>Cor T2 FSE FS</t>
  </si>
  <si>
    <t>FAST_GEMS | FC_FREQ_AX_GEMS | FC | SAT_GEMS | TRF_GEMS | FILTERED_GEMS | FS | FSI_GEMS</t>
  </si>
  <si>
    <t>0.5859 | 0.5859</t>
  </si>
  <si>
    <t>0 | 256 | 200 | 0</t>
  </si>
  <si>
    <t>0.98263 | -0.12865 | 0.13377 | 0.14626 | 0.09303 | -0.98486</t>
  </si>
  <si>
    <t>SIGNA Voyager</t>
  </si>
  <si>
    <t>30 | LX | SIGNA_LX1.MR30.1_R01_2322.c</t>
  </si>
  <si>
    <t>16FL</t>
  </si>
  <si>
    <t>1.2.826.0.1.3680043.8.498.41786504123190759621834893248893641957</t>
  </si>
  <si>
    <t>Sag PD FSE</t>
  </si>
  <si>
    <t>FAST_GEMS | FC_FREQ_AX_GEMS | FC | NPW | NP | TRF_GEMS | FILTERED_GEMS | FSP_GEMS</t>
  </si>
  <si>
    <t>0.293 | 0.293</t>
  </si>
  <si>
    <t>0.10094 | 0.99180 | 0.07834 | 0.14973 | 0.06270 | -0.98674</t>
  </si>
  <si>
    <t>1.2.826.0.1.3680043.8.498.45433966192867460741417444204369175868</t>
  </si>
  <si>
    <t>Ax T2 FSE FS</t>
  </si>
  <si>
    <t>FAST_GEMS | FC_SLICE_AX_GEMS | FC | SAT_GEMS | TRF_GEMS | FILTERED_GEMS | FS | FSA_GEMS</t>
  </si>
  <si>
    <t>0.99181 | -0.03193 | 0.12367 | 0.02399 | 0.99759 | 0.06517</t>
  </si>
  <si>
    <t>1.2.826.0.1.3680043.8.498.57215472262185507167106208233273188371</t>
  </si>
  <si>
    <t>FAST_GEMS | TRF_GEMS | FILTERED_GEMS | FSI_GEMS</t>
  </si>
  <si>
    <t>0 | 320 | 212 | 0</t>
  </si>
  <si>
    <t>1.2.826.0.1.3680043.8.498.61693835729507935918922065312401699768</t>
  </si>
  <si>
    <t>Sag T2 FSE FS</t>
  </si>
  <si>
    <t>FAST_GEMS | FC_FREQ_AX_GEMS | FC | SAT_GEMS | NPW | NP | TRF_GEMS | FILTERED_GEMS | FS | FSP_GEMS</t>
  </si>
  <si>
    <t>1.2.826.0.1.3680043.8.498.73527530686853911124431549317032662220</t>
  </si>
  <si>
    <t>1.2.826.0.1.3680043.8.498.10348071327293290966523579991979381444</t>
  </si>
  <si>
    <t>0.20815 | 0.978067 | -0.00767296 | -0.0179258 | -0.0040288 | -0.999831</t>
  </si>
  <si>
    <t>1.2.826.0.1.3680043.8.498.12239267188323122300736742237473727431</t>
  </si>
  <si>
    <t>0.20815 | 0.978067 | -0.0076732 | -0.0179272 | -0.00402872 | -0.999831</t>
  </si>
  <si>
    <t>1.2.826.0.1.3680043.8.498.79612764684049334924103011695398148524</t>
  </si>
  <si>
    <t>0.20815 | 0.978067 | -0.00767344 | -0.017927 | -0.00402896 | -0.999831</t>
  </si>
  <si>
    <t>1.2.826.0.1.3680043.8.498.81237355703783096653309859815913971934</t>
  </si>
  <si>
    <t>0.983469 | -0.181035 | -0.00383686 | -0.00655626 | -0.0144256 | -0.999874</t>
  </si>
  <si>
    <t>1.2.826.0.1.3680043.8.498.83867942217836552185114474898876718504</t>
  </si>
  <si>
    <t>0.990088 | -0.140022 | -0.0109523 | 0.140006 | 0.990148 | -0.00225753</t>
  </si>
  <si>
    <t>1.2.826.0.1.3680043.8.498.73926443729786165628848843707532839995</t>
  </si>
  <si>
    <t>1.2.826.0.1.3680043.8.498.13310307807795355391194629563231191821</t>
  </si>
  <si>
    <t>pd_tse_tra_d</t>
  </si>
  <si>
    <t>*tseR2d1_6</t>
  </si>
  <si>
    <t>0.1562 | 0.1562</t>
  </si>
  <si>
    <t>0 | 480 | 336 | 0</t>
  </si>
  <si>
    <t>0.994694 | 0.097764 | 0.0320357 | -0.0935008 | 0.988967 | -0.114896</t>
  </si>
  <si>
    <t>MAGNETOM Avanto fit</t>
  </si>
  <si>
    <t>syngo MR XA61</t>
  </si>
  <si>
    <t>1.2.826.0.1.3680043.8.498.71524304356901363639540601922181758654</t>
  </si>
  <si>
    <t>pd_tse_fs_cor_d</t>
  </si>
  <si>
    <t>0.991742 | 0.104855 | 0.073852 | 0.0595851 | 0.133216 | -0.989294</t>
  </si>
  <si>
    <t>1.2.826.0.1.3680043.8.498.78991165425199309794359588807608652481</t>
  </si>
  <si>
    <t>pd_tse_sag_d</t>
  </si>
  <si>
    <t>0.1674 | 0.1674</t>
  </si>
  <si>
    <t>448 | 0 | 0 | 358</t>
  </si>
  <si>
    <t>-0.140294 | 0.99011 | 3.01859e-08 | 0.0623363 | 0.00883281 | -0.998016</t>
  </si>
  <si>
    <t>1.2.826.0.1.3680043.8.498.81815414586619174880173613331964214850</t>
  </si>
  <si>
    <t>1.2.826.0.1.3680043.8.498.87895862586271485169231472393293964108</t>
  </si>
  <si>
    <t>t2_de3d_we_tra_Patella_fit_T</t>
  </si>
  <si>
    <t>*de3d1</t>
  </si>
  <si>
    <t>0 | 320 | 384 | 0</t>
  </si>
  <si>
    <t>0.994687 | 0.0978357 | 0.0320274 | -0.0935728 | 0.98896 | -0.114898</t>
  </si>
  <si>
    <t>1.2.826.0.1.3680043.8.498.75187434248356774277526985329346125190</t>
  </si>
  <si>
    <t>1.2.826.0.1.3680043.8.498.11625457303004368642031400585358126215</t>
  </si>
  <si>
    <t>400 | 0 | 0 | 352</t>
  </si>
  <si>
    <t>0.18988595262304 | 0.98180324897091 | -0.0023885783642 | -0.0125780205397 | 0 | -0.9999208935707</t>
  </si>
  <si>
    <t>1.2.826.0.1.3680043.8.498.43903640528718159973086353576559343273</t>
  </si>
  <si>
    <t>0.98145367544441 | -0.1890089864049 | -0.0320044686698 | 0.19025661713461 | 0.98084069997064 | 0.04188007781257</t>
  </si>
  <si>
    <t>1.2.826.0.1.3680043.8.498.76996779194590916804683814458520544827</t>
  </si>
  <si>
    <t>0.18988596788212 | 0.98180324601869 | -0.0023885787896 | 0.11827486472205 | -0.0252899763733 | -0.9926587900532</t>
  </si>
  <si>
    <t>1.2.826.0.1.3680043.8.498.93551484318140274266459267320072605992</t>
  </si>
  <si>
    <t>0.98172558202164 | -0.189900975011 | -0.0123491414315 | -0.0125780205397 | 0 | -0.9999208935707</t>
  </si>
  <si>
    <t>1.2.826.0.1.3680043.8.498.98272753977677818069076712502597328523</t>
  </si>
  <si>
    <t>380 | 0 | 0 | 302</t>
  </si>
  <si>
    <t>1.2.826.0.1.3680043.8.498.98676746789639205361719427943243688577</t>
  </si>
  <si>
    <t>0 | 356 | 307 | 0</t>
  </si>
  <si>
    <t>1.2.826.0.1.3680043.8.498.77362718298550276679350855963451855003</t>
  </si>
  <si>
    <t>1.2.826.0.1.3680043.8.498.11789987658206151165631502413155474798</t>
  </si>
  <si>
    <t>0.99817 | 0.0530412 | -0.0290536 | -0.0508742 | 0.996181 | 0.0709553</t>
  </si>
  <si>
    <t>1.2.826.0.1.3680043.8.498.17934418573972759272534919931188739592</t>
  </si>
  <si>
    <t>1.2.826.0.1.3680043.8.498.25371003339062235719535685903629725583</t>
  </si>
  <si>
    <t>-0.142524 | 0.989791 | 0 | -0 | -0 | -1</t>
  </si>
  <si>
    <t>1.2.826.0.1.3680043.8.498.32323247418092317262462994831418091573</t>
  </si>
  <si>
    <t>0.988945 | 0.148044 | -0.00842304 | -0.0314038 | 0.153509 | -0.987648</t>
  </si>
  <si>
    <t>1.2.826.0.1.3680043.8.498.49091966385194517265009889541603216700</t>
  </si>
  <si>
    <t>1.2.826.0.1.3680043.8.498.78258700914724339615095082290322844598</t>
  </si>
  <si>
    <t>1.2.826.0.1.3680043.8.498.99177866403443575396896317080757605662</t>
  </si>
  <si>
    <t>1.2.826.0.1.3680043.8.498.78512215519177850923279235346968676828</t>
  </si>
  <si>
    <t>1.2.826.0.1.3680043.8.498.11144137085787180057739852391084947631</t>
  </si>
  <si>
    <t>0.99949 | -0.0317527 | -0.0033991 | 0.0319341 | 0.993812 | 0.106387</t>
  </si>
  <si>
    <t>1.2.826.0.1.3680043.8.498.51594414677993339088394514174201163950</t>
  </si>
  <si>
    <t>1.04347e-06 | 0.999159 | 0.0410038 | -8.40644e-09 | 0.0410038 | -0.999159</t>
  </si>
  <si>
    <t>1.2.826.0.1.3680043.8.498.80203157978513103505273606054484953471</t>
  </si>
  <si>
    <t>pd_tse_COR_384</t>
  </si>
  <si>
    <t>0.996723 | -0.00976111 | 0.0803041 | 0.0808951 | 0.120254 | -0.989442</t>
  </si>
  <si>
    <t>1.2.826.0.1.3680043.8.498.84591830035101573535572853408950903979</t>
  </si>
  <si>
    <t>384 | 0 | 0 | 313</t>
  </si>
  <si>
    <t>0.996723 | -0.00976109 | 0.0803041 | 0.0808952 | 0.120254 | -0.989442</t>
  </si>
  <si>
    <t>1.2.826.0.1.3680043.8.498.92631810116127614014780193051312108215</t>
  </si>
  <si>
    <t>9.9946e-07 | 0.999156 | 0.0410726 | 2.05339e-08 | 0.0410726 | -0.999156</t>
  </si>
  <si>
    <t>1.2.826.0.1.3680043.8.498.96916055992112142622476248614876911120</t>
  </si>
  <si>
    <t>0.989826 | 0.0781929 | 0.118871 | 0.142283 | -0.543974 | -0.826951</t>
  </si>
  <si>
    <t>1.2.826.0.1.3680043.8.498.82166943552764439138333504456139890254</t>
  </si>
  <si>
    <t>1.2.826.0.1.3680043.8.498.10018402039504397857968533816812816572</t>
  </si>
  <si>
    <t>0.98895621299743 | 0.10366396605968 | -0.1059214696288 | -0.1024667099118 | 0.99459624290466 | 0.01669825799763</t>
  </si>
  <si>
    <t>1.2.826.0.1.3680043.8.498.10257912747645500412136630543476045285</t>
  </si>
  <si>
    <t>1.2.826.0.1.3680043.8.498.10347272512623805065972057458376849254</t>
  </si>
  <si>
    <t>-0.1024667099118 | 0.99459624290466 | 0.01669825799763 | -0.1070801094174 | 0.00566042074933 | -0.9942342638969</t>
  </si>
  <si>
    <t>1.2.826.0.1.3680043.8.498.10436783375077399659860593777522979072</t>
  </si>
  <si>
    <t>0.98895621299743 | 0.10366396605968 | -0.1059214696288 | -0.1070801094174 | 0.00566042074933 | -0.9942342638969</t>
  </si>
  <si>
    <t>1.2.826.0.1.3680043.8.498.30205011752939967279543537379010794909</t>
  </si>
  <si>
    <t>1.2.826.0.1.3680043.8.498.41453776462847737420755793667519107493</t>
  </si>
  <si>
    <t>1.2.826.0.1.3680043.8.498.45915616375600747756275102071997921979</t>
  </si>
  <si>
    <t>1.2.826.0.1.3680043.8.498.55708732661849181175407648331454551556</t>
  </si>
  <si>
    <t>1.2.826.0.1.3680043.8.498.86968600239724310678905311244945464037</t>
  </si>
  <si>
    <t>1.2.826.0.1.3680043.8.498.10638840135691883629383334909627986433</t>
  </si>
  <si>
    <t>COR T2W frFSE FS</t>
  </si>
  <si>
    <t>0.39063 | 0.39062</t>
  </si>
  <si>
    <t>0.999891 | 6.10359e-05 | 0.0147712 | 0.0147708 | 0.0105288 | -0.999835</t>
  </si>
  <si>
    <t>1.2.826.0.1.3680043.8.498.27587238380139471988613191391521109317</t>
  </si>
  <si>
    <t>Sag T2W frFSE FS</t>
  </si>
  <si>
    <t>0.39062 | 0.390627</t>
  </si>
  <si>
    <t>0.0138859 | 0.999904 | 0.000213622 | 0.0147711 | -0 | -0.999891</t>
  </si>
  <si>
    <t>1.2.826.0.1.3680043.8.498.31463492254420490144490278761538759216</t>
  </si>
  <si>
    <t>Sag PD frFSE</t>
  </si>
  <si>
    <t>0.0138858 | 0.999904 | 0.000213622 | 0.0147712 | -0 | -0.999891</t>
  </si>
  <si>
    <t>1.2.826.0.1.3680043.8.498.58369609886643531463474803663664793576</t>
  </si>
  <si>
    <t>AX T2W frFSE FS</t>
  </si>
  <si>
    <t>0.390623 | 0.390622</t>
  </si>
  <si>
    <t>0.999794 | -0.013886 | 0.0147711 | 0.0133366 | 0.999242 | 0.0365614</t>
  </si>
  <si>
    <t>1.2.826.0.1.3680043.8.498.73414308736751658627435120649630352251</t>
  </si>
  <si>
    <t>0.78124 | 0.781254</t>
  </si>
  <si>
    <t>0.0138859 | 0.999904 | 0.000213622 | 0.0147712 | -0 | -0.999891</t>
  </si>
  <si>
    <t>1.2.826.0.1.3680043.8.498.88077418639301174409926781329613570435</t>
  </si>
  <si>
    <t>1.2.826.0.1.3680043.8.498.10326918552454411368494543557296881553</t>
  </si>
  <si>
    <t>0.998341 | 0.0570074 | -0.00802782 | -0.00730942 | -0.0127992 | -0.999891</t>
  </si>
  <si>
    <t>1.2.826.0.1.3680043.8.498.13289651041724897374069399159164397015</t>
  </si>
  <si>
    <t>0.993566 | 0.112973 | 0.00793332 | -0.112983 | 0.993597 | 0.000863224</t>
  </si>
  <si>
    <t>1.2.826.0.1.3680043.8.498.30657822634139739188979013992800834075</t>
  </si>
  <si>
    <t>-0.127407 | 0.991851 | 6.40393e-09 | -5.63187e-07 | -6.5887e-08 | -1</t>
  </si>
  <si>
    <t>1.2.826.0.1.3680043.8.498.47557209523522148400991976782250698479</t>
  </si>
  <si>
    <t>-0.127407 | 0.991851 | -3.68033e-08 | 2.35409e-09 | -3.68033e-08 | -1</t>
  </si>
  <si>
    <t>1.2.826.0.1.3680043.8.498.74097019759431726115055700873108100250</t>
  </si>
  <si>
    <t>0.98829 | 0.149444 | 0.0308083 | 0.112405 | -0.576502 | -0.809327</t>
  </si>
  <si>
    <t>1.2.826.0.1.3680043.8.498.85157211933861275751721312445130516208</t>
  </si>
  <si>
    <t>1.2.826.0.1.3680043.8.498.90283565381042081768587894596970552767</t>
  </si>
  <si>
    <t>1.2.826.0.1.3680043.8.498.10851414972318193746245591053862925239</t>
  </si>
  <si>
    <t>AXI DP SPIR</t>
  </si>
  <si>
    <t>0.24193547666072 | 0.24193547666072</t>
  </si>
  <si>
    <t>0 | 184 | 118 | 0</t>
  </si>
  <si>
    <t>0.98011636734008 | 0.16022530198097 | 0.11704615503549 | -0.1703637242317 | 0.98192864656448 | 0.08241594582796</t>
  </si>
  <si>
    <t>1.2.826.0.1.3680043.8.498.12094995878175738580208251372899753847</t>
  </si>
  <si>
    <t>0 | 388 | 253 | 0</t>
  </si>
  <si>
    <t>0.98139536380767 | 0.19191305339336 | -0.0057005314156 | -0.0225153453648 | 0.08555058389902 | -0.9960793852806</t>
  </si>
  <si>
    <t>1.2.826.0.1.3680043.8.498.40976673889922888495356759133819064735</t>
  </si>
  <si>
    <t>SAG DP SENSE</t>
  </si>
  <si>
    <t>268 | 0 | 0 | 206</t>
  </si>
  <si>
    <t>-0.0673347115516 | 0.99770778417587 | 0.00672431662678 | -0.0307606458663 | 0.00466048531234 | -0.9995158910751</t>
  </si>
  <si>
    <t>1.2.826.0.1.3680043.8.498.63606952513741573790558402741132953718</t>
  </si>
  <si>
    <t>AXI STIR F</t>
  </si>
  <si>
    <t>0.25711780786514 | 0.25711780786514</t>
  </si>
  <si>
    <t>0 | 328 | 214 | 0</t>
  </si>
  <si>
    <t>0.98859858512878 | 0.13824939727783 | 0.05966515094041 | -0.1427856385707 | 0.98651629686355 | 0.07998634129762</t>
  </si>
  <si>
    <t>1.2.826.0.1.3680043.8.498.69393995607370120323004157329094509077</t>
  </si>
  <si>
    <t>236 | 0 | 0 | 178</t>
  </si>
  <si>
    <t>1.2.826.0.1.3680043.8.498.84482758825468431885247408395318186921</t>
  </si>
  <si>
    <t>0.341796875 | 0.341796875</t>
  </si>
  <si>
    <t>0 | 252 | 171 | 0</t>
  </si>
  <si>
    <t>1.2.826.0.1.3680043.8.498.94433753471890306108089557761231739312</t>
  </si>
  <si>
    <t>1.2.826.0.1.3680043.8.498.18301329750310393137000369594616632001</t>
  </si>
  <si>
    <t>0.99942052364349 | -0.0011458707740 | 0.03401887044310 | -0.0031283770222 | 0.99211090803146 | 0.12532442808151</t>
  </si>
  <si>
    <t>1.2.826.0.1.3680043.8.498.19808351390262770843383719107538938411</t>
  </si>
  <si>
    <t>0 | 268 | 287 | 0</t>
  </si>
  <si>
    <t>0.99893009662628 | 0.02698145806789 | 0.03755820915102 | 0.03389409556984 | 0.12535822391510 | -0.9915323853492</t>
  </si>
  <si>
    <t>1.2.826.0.1.3680043.8.498.81238513949482991110216640426071715261</t>
  </si>
  <si>
    <t>0.34464344382286 | 0.92978173494338 | 0.12933230400085 | 0.03389409556984 | 0.12535822391510 | -0.9915323853492</t>
  </si>
  <si>
    <t>1.2.826.0.1.3680043.8.498.97920511515278513771772493032450247932</t>
  </si>
  <si>
    <t>1.2.826.0.1.3680043.8.498.97274720257634584071500649275217521662</t>
  </si>
  <si>
    <t>1.2.826.0.1.3680043.8.498.12306898793869915364383953312846266667</t>
  </si>
  <si>
    <t>0.99521 | 4.897e-12 | -0.09776 | -4.873e-12 | 1 | 4.79e-13</t>
  </si>
  <si>
    <t>1.2.826.0.1.3680043.8.498.17378665248295186489494676065815966976</t>
  </si>
  <si>
    <t>t2_tse_sag_d</t>
  </si>
  <si>
    <t>400 | 0 | 0 | 300</t>
  </si>
  <si>
    <t>-0.069469 | 0.997584 | -5.26517e-09 | 1.83104e-10 | -5.26517e-09 | -1</t>
  </si>
  <si>
    <t>1.2.826.0.1.3680043.8.498.26303375425736222633996027764568407709</t>
  </si>
  <si>
    <t>1.2.826.0.1.3680043.8.498.92909718893560498250889678421934340850</t>
  </si>
  <si>
    <t>0.996493 | 4.897e-12 | -0.083681 | -4.879e-12 | 1 | 4.1e-13</t>
  </si>
  <si>
    <t>1.2.826.0.1.3680043.8.498.96963728552261384768664457442339822107</t>
  </si>
  <si>
    <t>1 | 0 | 0 | 0 | 0.173448 | -0.984843</t>
  </si>
  <si>
    <t>Mã định danh ca chụp. Các series cùng ca có chung mã này.</t>
  </si>
  <si>
    <t>Mã định danh riêng của series.</t>
  </si>
  <si>
    <t>Cờ nhạy dịch từ CSV: 1 = nhấn mạnh tín hiệu dịch; 0 = không thuộc nhóm này. Không phải nhãn tràn dịch.</t>
  </si>
  <si>
    <t>Cờ xóa mỡ từ CSV: 1 = có; 0 = không.</t>
  </si>
  <si>
    <t>Mặt phẳng chụp: Sagittal = dọc; Coronal = trán; Axial = ngang.</t>
  </si>
  <si>
    <t>Tên mô tả series, thường được hiển thị trong Slicer; ví dụ pd_tse_fs_cor.</t>
  </si>
  <si>
    <t>Tên protocol do máy hoặc cơ sở chụp đặt. Có thể không được lưu hoặc đã bị loại bỏ.</t>
  </si>
  <si>
    <t>Tên kỹ thuật của chuỗi xung do máy ghi; cách đặt tên phụ thuộc hãng.</t>
  </si>
  <si>
    <t>Nhóm xung: SE = Spin Echo; GR = Gradient Echo; IR = Inversion Recovery; RM = Research Mode.</t>
  </si>
  <si>
    <t>Biến thể xung: SP = Spoiled; SK = Segmented k-space; OSP = Oversampling Phase.</t>
  </si>
  <si>
    <t>Tùy chọn chụp: FS = Fat Saturation; PER = Phase Encoding Reordering.</t>
  </si>
  <si>
    <t>Kiểu thu nhận: 2D = từng lát; 3D = thể tích. Không phải số hướng hiển thị trong Slicer.</t>
  </si>
  <si>
    <t>Thuộc tính ảnh: ORIGINAL, PRIMARY và các mã bổ sung; một số mã phụ thuộc hãng.</t>
  </si>
  <si>
    <t>Số series trong study; không phải số lát cắt.</t>
  </si>
  <si>
    <t>Phương thức tạo ảnh: MR = MRI.</t>
  </si>
  <si>
    <t>TR: thời gian lặp giữa các lần kích thích tương ứng.</t>
  </si>
  <si>
    <t>TE: thời gian từ kích thích đến tâm tín hiệu echo được đo.</t>
  </si>
  <si>
    <t>TI: thời gian từ xung đảo đến xung kích thích; chỉ áp dụng cho các chuỗi phù hợp.</t>
  </si>
  <si>
    <t>Góc lật từ hóa do xung kích thích.</t>
  </si>
  <si>
    <t>Số echo trong chuỗi echo của mỗi lần kích thích, theo khai báo DICOM.</t>
  </si>
  <si>
    <t>Chỉ số echo tương ứng với ảnh đại diện; không phải số lát cắt.</t>
  </si>
  <si>
    <t>Số lần lấy trung bình tín hiệu, thường gọi NEX/NSA.</t>
  </si>
  <si>
    <t>Băng thông thu nhận trên mỗi pixel.</t>
  </si>
  <si>
    <t>Tần số cộng hưởng hoạt động được máy ghi khi chụp.</t>
  </si>
  <si>
    <t>Cường độ từ trường chính của máy, ví dụ 1,5 T hoặc 3 T.</t>
  </si>
  <si>
    <t>Số hàng pixel của ảnh.</t>
  </si>
  <si>
    <t>Số cột pixel của ảnh.</t>
  </si>
  <si>
    <t>Khoảng cách tâm pixel theo hàng rồi cột. Ví dụ 0.4 | 0.4 = 0,4 mm theo mỗi hướng.</t>
  </si>
  <si>
    <t>Độ dày danh định của một lát cắt.</t>
  </si>
  <si>
    <t>Khoảng cách tâm đến tâm giữa các lát; không phải khoảng hở. Có thể khác độ dày lát.</t>
  </si>
  <si>
    <t>Ma trận thu nhận trước tái tạo: frequency rows, frequency columns, phase rows, phase columns.</t>
  </si>
  <si>
    <t>Đường kính vùng tái tạo ảnh.</t>
  </si>
  <si>
    <t>Hướng mã hóa pha trong ảnh: ROW = hàng; COL = cột. Không phải mặt phẳng giải phẫu.</t>
  </si>
  <si>
    <t>Tỷ lệ các dòng của ma trận thu nhận được lấy mẫu.</t>
  </si>
  <si>
    <t>Tỷ lệ kích thước vùng nhìn theo hướng pha so với hướng tần số. 100 = bằng nhau.</t>
  </si>
  <si>
    <t>Sáu cosin chỉ phương của hướng hàng và cột trong hệ tọa độ bệnh nhân; mô tả cả hướng chếch.</t>
  </si>
  <si>
    <t>Số thứ tự DICOM của ảnh được chọn đại diện; không nhất thiết là lát đầu hoặc giữa.</t>
  </si>
  <si>
    <t>Số frame trong file DICOM đại diện; không phải tổng số lát của series.</t>
  </si>
  <si>
    <t>Hãng sản xuất máy chụp.</t>
  </si>
  <si>
    <t>Tên model máy chụp.</t>
  </si>
  <si>
    <t>Phiên bản phần mềm của máy chụp.</t>
  </si>
  <si>
    <t>Tên coil thu tín hiệu MRI.</t>
  </si>
  <si>
    <t>Tên coil phát xung RF.</t>
  </si>
  <si>
    <t>Vùng cơ thể được ghi trong header, như KNEE. Cần đối chiếu ảnh nếu metadata bất thường.</t>
  </si>
  <si>
    <t>Tư thế bệnh nhân: FFS = nằm ngửa, đưa chân vào máy trước.</t>
  </si>
  <si>
    <t>Bên cơ thể ở cấp series: R = phải; L = trái.</t>
  </si>
  <si>
    <t>ImageLaterality</t>
  </si>
  <si>
    <t>Bên cơ thể ở cấp ảnh, nếu được ghi.</t>
  </si>
  <si>
    <t>ContrastBolusAgent</t>
  </si>
  <si>
    <t>Tên chất tương phản nếu được ghi. Ô trống không chứng minh không tiêm.</t>
  </si>
  <si>
    <t>SeriesDirectory</t>
  </si>
  <si>
    <t>Đường dẫn thư mục chứa series trên máy chạy code.</t>
  </si>
  <si>
    <t>Số file ứng viên tìm thấy; chưa xác nhận tất cả hợp lệ và không luôn bằng số lát cắt.</t>
  </si>
  <si>
    <t>RepresentativeDICOM</t>
  </si>
  <si>
    <t>Đường dẫn file đại diện được dùng để trích xuất metadata.</t>
  </si>
  <si>
    <t>ReadStatus</t>
  </si>
  <si>
    <t>OK = đọc được header đại diện và UID khớp. MISSING_FOLDER = thiếu thư mục; NO_DICOM_CANDIDATES = không có file ứng viên; NO_VALID_HEADER = không tìm được header hợp lệ.</t>
  </si>
  <si>
    <t>SkippedFilesBeforeRepresentative</t>
  </si>
  <si>
    <t>Số file lỗi hoặc sai UID bị bỏ qua trước khi tìm được file đại diện.</t>
  </si>
  <si>
    <t>ReadNotes</t>
  </si>
  <si>
    <t>Ghi chú lỗi khi tìm header đại diện; trống nghĩa là không có ghi chú.</t>
  </si>
  <si>
    <t>Report</t>
  </si>
  <si>
    <t>ACL</t>
  </si>
  <si>
    <t>MCL</t>
  </si>
  <si>
    <t>Medial Meniscus</t>
  </si>
  <si>
    <t>Lateral Meniscus</t>
  </si>
  <si>
    <t>Medial OA</t>
  </si>
  <si>
    <t>Lateral OA</t>
  </si>
  <si>
    <t>PF OA</t>
  </si>
  <si>
    <t>Effusion</t>
  </si>
  <si>
    <t>Synovitis</t>
  </si>
  <si>
    <t>Baker's</t>
  </si>
  <si>
    <t>Contusion</t>
  </si>
  <si>
    <t>Fracture</t>
  </si>
  <si>
    <t>Antecedentes Clínicos:
Esguince rodilla. [DATE].
Hallazgos:
No hay alteraciones de señal significativas de la médula ósea.
Ligamentos cruzados y colaterales dentro de límites normales.
Amputación marginal del cuerpo del menisco lateral. Menisco medial de morfología y señal
conservada, sin signos de rotura.
Cartílagos de los compartimentos femorotibiales sin alteraciones.
Fina úlcera condral focal de espesor total del aspecto inferior de la vertiente medial de la tróclea
femoral con mínimos cambios óseos secundarios. Fenómenos condrales reparativos de la región
central de la simple femoral. Cartílago rotuliano sin alteraciones.
Leve derrame articular. No hay quistes poplíteos patológicos.
Aumento de señal de la inserción distal del tendón cuadricipital y de la inserción proximal del
tendón rotuliano, sin signos de rotura.
No hay alteraciones de señal de la grasa de Hoffa.
Impresión:
Amputación marginal del cuerpo del menisco lateral.
Condropatía focal grado 4 del aspecto inferior de la vertiente medial de la tróclea femoral .
Fenómenos condrales reparativos de la región central de la tróclea femoral.
Leve derrame articular.
Leve tendinosis cuadricipital distal y rotuliana proximal.</t>
  </si>
  <si>
    <t>The study reveals normal knee joint alignment.   No fracture is seen.  
   ACL is intact.   PCL is preserved.  
  The MCL is intact.    Medial meniscus is not torn.  
  The FCL, popliteus and biceps femoris tendons are preserved.       
   Horizontal tear at anterior horn of the lateral meniscus is noted.  
   Focal osteochondral defect at lateral patellar facet, about 8x12mm. with subchondral bone edema is detected.   Full thickness cartilage defect, 1.2x1.5cm. at lateral trochlea with subchondral bone edema is noted.   Small osteochondral body, about intact9xintact4cm. at anterior infrapatellar recess is noted.   
  The quadriceps and patellar tendons are preserved.   
   Moderate joint effusion, distended suprapatellar bursa with thickend synovial tissue are observed.  Horizontal tear at anterior horn of the lateral meniscus.  
     Osteochondral fracture at lateral patellar facet, about 8x12mm. with dislodge OCD fragment. 
     Full thickness cartilage defect, 1.2x1.5cm. at lateral trochlea with subchondral bone edema. 
      Small osteochondral body, about intact9xintact4cm. at anterior infrapatellar recess. 
      Chronic reactive synovitis, suprapatellar bursitis</t>
  </si>
  <si>
    <t>Exam Type: MRI KNEE RIGHT WO CONTRAST
Exam Date and Time: [DATE] [TIME]
Indication: 2 years of pain with walking up and down the stairs twisting and squatting.
Comparison: No relevant prior studies available for comparison.
TECHNIQUE:
MRI of the right knee was performed on a 1.5 Tesla system body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Small joint effusion. No intra-articular bodies. No Baker's cyst.
MEDIAL COMPARTMENT:
Medial meniscus: Extensive complete tearing of the body, posterior horn, and posterior root medial meniscus with severe extrusion.
Medial compartment cartilage: Full thickness cartilage loss along the medial femoral condyle and medial tibial plateau with subchondral cystic change and marrow edema.
LATERAL COMPARTMENT:
Lateral meniscus: Degenerative signal throughout the lateral meniscus without surfacing tear.
Lateral compartment cartilage: Mild cartilage heterogeneity and fissuring.
PATELLOFEMORAL COMPARTMENT:
Patellofemoral compartment cartilage: High-grade cartilage loss along the medial patellar facet. High grade cartilage loss at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Extensive complete tearing of the body, posterior horn, and posterior root medial meniscus with severe extrusion.
2.	Tricompartmental osteoarthritis worse in the medial compartment.</t>
  </si>
  <si>
    <t>MRI of left Knee with 
-3-Plane Loc R'T, Sag PD FS, AX T2 FS, Sag T2 FS, Sag T1, CORT2 FS
&gt; There is no abnormal intensity or articular surface disrupt in the medial meniscus, It appears to be normal.
&gt; There is no increased intensity in the ACL, MCL and LCL, it appears to be normal
&gt; Interstitial high intensity, irregular contour and laxity in the PCL, suspected complete tear
&gt; Synovial membrane thickening in the knee joint with fluid accumulation and hofa fat pad stranding, knee arthritis with hoffitis noted
&gt; Fluid accumulated in the suprapatella bursa with quadricep and prefemoral fat pad stranding, suprapatellar bursitis noted
&gt; Fluid accumulated in the posterior medial condyle region
&gt; Medial plica and suprapatellar plicae noted
&gt; Relatively enlarged caliber of the popliteal vein  with heterogenous hyperintensity (srs: 6, Img: 24-30) and prominenet superficial veines, the possiblity of deep vein thrombosis can't totally excluded.
Impression:
1. C/W PCL complete tear, grade 3 injury
2. Synovitis of left knee and massive joint effusion and suprapatellar bursitis; complex plicae.
3. Subcutaneous edema around left knee.
4. R/O deep vein thrombosis of left popliteal vein. Suggest correlation with clinical manifestation
Suggest correlation with clinical manifestation</t>
  </si>
  <si>
    <t>In the medial compartment, there is longitudinal vertical tear at the body and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 medial and lateral collateral ligament complexes are intact. The extensor mechanism is normal.  
 No knee effusion is present. The surrounding musculature is normal. There is no fracture or bone contusion.   -- Longitudinal vertical tear at the body and posterior horn of the medial meniscus. 
 -- Complete tear of the anterior cruciate ligament, at mid substance.</t>
  </si>
  <si>
    <t>In the medial compartment, the meniscus is not torn and there is no focal chondrosis or chondral injury. 
 The lateral compartment, there is complex tear (main radial and longitudinal vertical component)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interstitial tear of the anterior cruciate ligament, at mid substance. The posterior cruciate ligament is intact. There is no tibial translation. 
 The medial collateral ligament complexes are intact. The posteromedial oblique ligament is intact.  
 There is grade II ligamentous sprain (partial tear) of  lateral collateral ligament. Partial tear of the intraarticular portion, popliteus tendon is present. The popliteofibular ligament is intact. The meniscopopliteal fascicles are intact.  
 The extensor mechanism is normal.  
 Some amount of right knee effusion with hemarthrosis is present. There is popliteus muscle contusion.  There is no fracture or bone contusion.   Complex tear (main radial and longitudinal vertical component) at the posterior horn of the lateral meniscus. 
  Interstitial tear of the anterior cruciate ligament, at mid substance.  
  Grade II ligamentous sprain (partial tear) of  lateral collateral ligament.  
  Partial tear of the intraarticular portion, popliteus tendon. 
  Some amount of right knee effusion with hemarthrosis. 
  Popliteus muscle contusion.</t>
  </si>
  <si>
    <t>Antecedentes Clínicos:
Rodilla traumática aguda.
Hallazgos:
Rotura espesor y ancho total de la unión del tercio medio del tercio proximal del LCA asociado a
discreto edema óseo del aspecto posterior de platillo tibial lateral. LCP y ligamentos colaterales sin
alteraciones significativas.
Aumento de señal central del cuerno posterior y cuerpo del menisco medial que no impresiona
contactar con la superficie articular, sin caracteres propios de rotura.
Menisco lateral con pequeña rotura radial incompleta de la unión del cuerno posterior con el
cuerpo, sin desplazamiento de segmentos.
Úlcera condral de espesor total de la zona de carga del cóndilo femoral lateral que mide
aproximadamente 6 x 5 mm en sus ejes mediolateral y anteroposterior, sin cambios óseos
secundarios. Fina úlcera condral focal de espesor total del aspecto posterior de platillo tibial
lateral. El resto de los cartílagos femorotibiales y patelofemorales sin alteraciones.
Leve a moderado derrame articular, probablemente hemartrosis. Leve cantidad de liquido
intermuscular en la región poplítea.
Tendones cuadricipital, rotuliano, tendones de la pata de ganso, bíceps femoral y banda iliotibial
dentro de límites normales.
Impresión:
Rotura espesor y ancho total del LCA.
Rotura radial incompleta de la unión del cuerno posterior con el cuerpo del menisco lateral.
Condropatía lesiones grado 3 del compartimento femorotibial lateral, previamente descritas.
Leve a moderado derrame articular, probablemente hemartrosis</t>
  </si>
  <si>
    <t>MRI of Knee with 
-Locator, SG PD FatSat, SG T2W FS, SG T1W, CO T2W FS, AX T2W FS
* High signal in the soft tissue medial to the medial collateral ligament with mild increased signal intensity of proximal ligament, suspect grade 2 injury.
* Interstitial hyperintense signal of ACL, in favor of grade 1 injury.
* Bone marrow edema in bilateral femoral condyles and anteromedial and posterolateral aspect of proximal tibia, suspect bone contusion.
* Subcutaneous edema over medial aspect of right knee.
* Some joint effusion of right knee with mild hypertrophy of the synovium, indicative of synovitis.
&gt; The contour of ACL &amp; PCL appear to be within normal.
&gt; No evidence of tear noted in either medial or lateral meniscus in this study.
&gt; The quadriceps and patellar tendons appear to be within normal.
Impression:
1. Suspect grade 2 injury of MCL with adjacent soft tissue edema over anteromedial aspect of right knee.
2. Suspect grade 1 injury of ACL.
3. Bone marrow edema in distal femur and proximal tibia (major at anteromedial and posterolateral aspect), suspect bone contusion.
4. Mild synovitis of right knee joint.
Suggest correlation with clinical manifestation.</t>
  </si>
  <si>
    <t>Exam Type: MRI KNEE RIGHT WO CONTRAST
Exam Date and Time: [DATE] [TIME]
Indication: Pain
Comparison: No relevant prior studies available for comparison.
TECHNIQUE:
MRI of the right knee was performed on a 3.0 Tesla system with a dedicated knee coil in three planes (axial, sagittal, and coronal), using a standard non-contrast protocol.
FINDINGS:
OSSEOUS STRUCTURES:
Alignment is anatomic. Subchondral insufficiency fracture at the medial margin of the medial tibial plateau without articular surface collapse. Background marrow signal is normal without infiltrative marrow process. No aggressive osseous lesions.
JOINT SPACE:
Small joint effusion. No intra-articular bodies. Trace Baker's cyst.
MEDIAL COMPARTMENT:
Medial meniscus: Complete radial tear of the posterior root of medial meniscus with mild extrusion.
Medial compartment cartilage: High-grade cartilage fissuring along the posterior weightbearing medial femoral condyle. Mild marginal spurring at the medial joint line.
LATERAL COMPARTMENT:
Lateral meniscus: Partial inner margin radial tear at the anterior horn/body junction of the lateral meniscus without extrusion.
Lateral compartment cartilage: Low-grade cartilage fissuring spanning the weightbearing lateral femoral condyle. High-grade cartilage fissuring along the posterior lateral tibial plateau.
PATELLOFEMORAL COMPARTMENT:
Patellofemoral compartment cartilage: Low-grade cartilage fissuring along the central trochlea. Mild cartilage thinning along the medial patellar facet with mild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Subchondral insufficiency fracture at the medial margin of the medial tibial plateau without articular surface collapse.
2.	Medial and lateral meniscus tears as described.
3.	Tricompartmental chondrosis.
4.	Small knee effusion.
5.	Mild patellar tendinosis without tear.</t>
  </si>
  <si>
    <t>FINDINGS:
Fluid:
Small joint effusion with synovial thickening compatible with synovitis. There is popliteal cyst measuring 21 x 17 x 35 mm. Small amount of edema along the inferior margin of the popliteal cyst suggesting a minimal partial rupture.
Medial compartment (meniscus, collateral ligament, cartilage):
There is increased T2 hyperintense signal within the posterior horn of the medial meniscus extending into the posterior horn-body junction without extension to the articular surface, compatible with intrasubstance degeneration. No frank tear.
Mild thickening of the proximal fibers of the medial cruciate ligament, with mild edema, compatible with grade 1 sprain. No frank tear.
Moderate thinning of the articular cartilage of the weightbearing femur and tibia.
Lateral compartment (meniscus, collateral ligament complex, cartilage):
There is a complex degenerative tear of the lateral meniscus with partial maceration of the anterior horn and anterior body, as well as a longitudinal oblique component involving the posterior horn. There is a 4 mm small displaced fragment along the lateral tibial gutter.
Full-thickness fissures in the articular cartilage of the tibial weightbearing surface with associated subchondral bone marrow edema. There is moderate thinning of the articular cartilage of the weightbearing femur and of the tibial plateau. No subchondral bone marrow edema at the femur.
Mild increased signal intensity at the distal iliotibial band. The lateral collateral ligament complex is otherwise unremarkable.
Intercondylar compartment (anterior and posterior cruciate ligaments):
The anterior and posterior cruciate ligaments are unremarkable. Mild early intraosseous cystic changes at the tibial insertion of the anterior cruciate ligament.
Anterior compartment (extensor mechanism, cartilage, Hoffa's fat pad):
Multifocal deep and delaminating fissuring of the articular cartilage of the patellar facet without associated subchondral bone marrow edema. Additionally, there is moderate thinning of the articular cartilage of the femoral trochlea without subchondral bone marrow edema.
Mild distal quadriceps tendinosis with mild edema in the suprapatellar fat pad.
Mild patellar tendinosis.
Bones:
Normal.
Muscles and neurovascular structures:
Normal.
Other findings:
Nonspecific edema in the anterior subcutaneous tissues along the infrapatellar region.
Small amount of fluid in the pes anserine bursa.
CONCLUSION:
- Tricompartmental moderate chondral thinning with deep fissures at the lateral and patellofemoral compartments, as described above.
- Complex degenerative tear of the lateral meniscus with tiny displaced fragment.
- Low-grade sprain of the medial collateral ligament.
- Small joint effusion with synovitis.
- Moderate-sized popliteal cyst with minimal partial rupture.</t>
  </si>
  <si>
    <t>Técnica: RMN de la rodilla. Resultados: Fricción de la banda iliotibial. Síndrome de pinzamiento de la almohadilla grasa de Hoffa. Condropatía rotuliana. Impresión: Fricción de la banda iliotibial. Síndrome de pinzamiento de la almohadilla grasa de Hoffa. Condropatía rotuliana.</t>
  </si>
  <si>
    <t>Técnica: RMN de la rodilla. Resultados: Rotura del LCA. Rotura parcial del LCM. Rotura de menisco interno y lateral. Derrame. Contusiones óseas femorotibiales. Impresión: Rotura del LCA. Rotura parcial del LCM. Rotura de menisco interno y lateral. Derrame. Contusiones óseas femorotibiales.</t>
  </si>
  <si>
    <t>In the medial compartment, the meniscus is not torn and there is no focal chondrosis or chondral injury. 
 The lateral compartment, there is longitudinal vertical oblique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grade II ligamentous sprain (partial tear) of the medial collateral ligament. The posteromedial oblique ligament is intact. The lateral collateral ligament complexes are intact. The extensor mechanism is normal.  
 No knee effusion is present. The surrounding musculature is normal. There is no fracture or bone contusion. - Longitudinal vertical oblique tear at the posterior horn of the lateral meniscus. 
 - Complete tear of the anterior cruciate ligament, at mid substance. 
 - Grade II ligamentous sprain (partial tear) of the medial collateral ligament.</t>
  </si>
  <si>
    <t>ΤΕΧΝΙΚΗ Η εξέταση έγινε µε ακολουθίες παλµών Τ1, πυκνότητας πρωτονίων µε καταστολή του σήµατος του λίπους και Τ2 βαθµιδωτής ηχούς. ΕΥΡΗΜΑΤΑ - Στο έσω διαµέρισµα παρατηρείται εκφυλιστική ρήξη στο οπίσθιο κέρας και σώµα του µηνίσκου. Επιπλέον παρατηρείται ήπιο οστεοµυελικό οίδηµα και πλήρης εξάλειψη του αρθρικού χόνδρου (ICRS Grade IV) στον έσω κνηµιαίο κόνδυλο, ενώ συνυπάρχουν µικρής έκτασης επιχείλια οστεόφυτα στον µηριαίο και κνηµιαίο κόνδυλο. - Από τον έλεγχο του έξω διαµερίσµατος παρατηρείται ήπιο οστεοµυελικό οίδηµα στον έξω κνηµιαίο κόνδυλο. - Από τον έλεγχο του πρόσθιου διαµερίσµατος δεν σηµειώνονται παθολογικά ευρήµατα. - Φυσιολογικά απεικονίζονται οι πλάγιοι και χιαστοί σύνδεσµοί. - Παρατηρείται µέτρια ποσότητα υγρού ενδαρθρικά που συνέχεται µε ευµεγέθη πολύχωρη συνοβιακή κύστη Baker κεφαλουραίας διαµέτρου 9,7εκ παρά την έσω κεφαλή του γαστροκνηµίου µυός. Συµπέρασµα 1. Εκφυλιστική οστεοαρθρίτιδα και εκφυλισττική ρήξη του µηνίσκου στο έσω διαµέρισµα. 2. Μικροδοκιδώδη κατάγµατα ανεπάρκειας (συνώνυµο SONK) έσω κνηµιαιίου και σε µικρότερη έκταση πρόσθιου έξω κνηµιαίου κονδύλου. ∆εν παρατηρείται καθίζηση της αρθρικής επιφάνειας.</t>
  </si>
  <si>
    <t>МР находка: МР данни за фрактура на тибията в областта на интеркондиларните еминенции. Фрактурата е без данни за значима дислокация. Визуализира се контузионен костномозъчен едем в тибията срединно и към медиалното тибиално плато. Минимален субхондрален едем се изобразява и по медиалната повърхност на пателата. Хрущялът, покриващ ставните повърхности на костите е съхранен. Кръстните връзки са със запазена цялост. Нормално представени менискуси. Хрущял на пателата, ретинакулуми – нормално представени. Insall-Salvati ratio – 1,3. Нормално изобразяване на сухожилието на пателата и на м. квадрицепс феморис. Наличие на минимален ставен излив. Заключение:  МР данни за фрактура на тибията в областта на интеркондиларните еминенции, без значима дислокация. Контузионен костномозъчен едем. Минимален ставен излив.</t>
  </si>
  <si>
    <t>&gt; MRI of knee was performed in sagittal, axial and coronal sections.
&gt; Spin echo sequence were used.
&gt; Split fractures at tibial plateau with depression of the lateral articular surface and extending to tibial intercondylar region
&gt; Bone contusion with neglected fracture line at fibular head.
&gt; The contour of ACL is not all in a straight line but increase signal intensity inside, in favor of grade 2 injury.
&gt; The contour of PCL appears to be within normal, no abnormal signal intensity is noted.
&gt; There are linear signal intensity in anterior horn of medial meniscus, it extends into the surface, in favor of tear.
&gt; Medial meniscus appears to be normal.
&gt; Both medial &amp; lateral collateral ligaments appear to be within normal.
&gt; Some joint effusion
Impression: 
1. C/W Tibia plateau fracutre and fibular head fracture with bone contusion.
2. Grade 2 injury of anterior cruciate ligament.
3. Tear of anterior horn of lateral meniscus.
Suggest correlation with clinical manifestation</t>
  </si>
  <si>
    <t>[DATE]: MR Knie Rechts 15ch AA: Klinische inlichtingen: Zie gescande aanvraag Diagnostische vraagstelling: Zie gescande aanvraag Bevindingen: Gevorderd lateraal femorotibiaal kraakbeenlijden met volledig kraakbeenverlies anterieur, centrale en posterieure dragende deel en van het laterale tibiaplateau, gepaard gaand met marginale osteofytose, beperkte subchondrale botveranderingen. Degeneratief voorkomen laterale meniscus met opzetting van het corpus, die zich bevindt buiten de gewrichtsspleet . Verder opzetting van suprapatellaire recessus, met talrijke verdikkingen van van het synovium, nodulair beginnend tot matig femoropatellair kraakbeenlijden met meerdere fissuren. Matig mediaal femorotibiaal kraakbeenlijden, met quasi volledig kraakbeenverlies dragende deel mediale femorale condyl, uitgebreide marginale osteofytose,. Gevorderde muco ïde degeneratie van de voorste kruisband, met opgezet voorkomen en gestegen T2-signaal . Popliteale cyste, met beperkte vochtinfiltratie oppervlakkig aan de musculus gastrocnemius medialis . Besluit: Gevorderde gonartrose van de rechterknie, op heden met hydrops, chronische synovitis, gevorderde muco ïde degeneratie voorste kruisband, recente scheur van popliteale cyste , echter zonder significant botoedeem .</t>
  </si>
  <si>
    <t>Antecedentes Clínicos:
Gonalgia izquierda.
Hallazgos:
No hay alteraciones de señal significativas de la médula ósea.
Transformación quística parcial del tercio proximal del LCA. LCP y ligamentos colaterales dentro de límites
normales.
Aumento de señal central del cuerno posterior y cuerpo del menisco medial que contacta la superficie
articular inferior sugieran una rotura.
Rotura del cuerno anterior, cuerpo y cuerno posterior del menisco lateral con mínima extrusión. Esto se
asocia a edema las partes blandas regionales.
Úlceras condrales de espesor parcial y total de la región central de la zona de carga del cóndilo femoral
medial. Úlceras condrales espesor parcial de la región central del platillo tibial lateral. Condropatía
superficial del resto de los cartílagos femorotibiales y de la tróclea femoral.
Úlceras condrales de espesor total de distribución difusa de la rótula.
Leve derrame articular con discreta sinovitis. No hay quistes poplíteos.
Tendones cuadricipital, rotuliano, tendones de la pata de ganso, bíceps femoral y banda iliotibial dentro de
límites normales.
Impresión:
Signos de una rotura del menisco medial, no desplazada.
Rotura compleja del cuerno anterior, cuerpo y cuerno posterior del menisco lateral con mínima extrusión y
edema de las partes blandas regionales.
Condropatía lesiones grado 3 de la región central de la zona de carga del cóndilo femoral medial y del
platillo tibial lateral.
Condropatía superficial del resto de los compartimentos femorotibiales.
Condropatía lesiones grado 2 y 3 de la rótula.
Leve derrame articular con discreta sinovitis difusa.</t>
  </si>
  <si>
    <t>Technique: MRI of the knee. ACL normal. MCL normal. Medial meniscus tear. Lateral meniscus tear. Incipient OA of all three compartmens.  Baker's cyst present. Large effusion. Insufficient fracture of medial femoral condyl with adjacent bone marrow oedema. Conclusion: Medial meniscus tear. Lateral meniscus tear. Incipient OA of all three compartmens.  Baker's cyst present. Large effusion. Medial condyl fracture.</t>
  </si>
  <si>
    <t>Diz eklemi içi sıvı miktarı hafif derecede artmış. Lateral femoral kondilin ağırlık taşıyan yüzeyinin anteriyor yarısındaki subkondral kırığı kemik iliği ödemi çevreliyor. Tibyal plato posterolateral köşesinde pivot kayması ile ilintili kemik kontüzyonu mevcut. Ön çapraz bağdaki laksite artışı ve ödem yüksek olasılıkla tam kat-tam kata yakın yırtık ile birlikte. Posteriyor oblik ve oblik popliteal bağlar ödemli ancak menisküs yırtığı eşlik etmiyor. Posteriyor medyal köşe yapıları bunların dışında korunmuş. Arka çapraz ve yan bağlar normal. Posterolateral köşe yapıları korunmuş. Medyal menisküs ve lateral menisküs normal. Eklem kıkırdakları ve kemikler bunların dışında normal. Ekstensör mekanizma korunmuş (kuadriseps tendonu ve patellar tendon, patella ve yerleşimi, femoral troklear oluk ve patellofemoral bağlar normal).</t>
  </si>
  <si>
    <t>SOL DİZ MRG. Tetkik protokolü: Çok düzlemli, çok sekanslı. Bulgular: Medial ve lateral  menisküs posterior hornu ve gövde kesiminde grade II dejenerasyon izlenmiştir.Arka çapraz bağ, lateral kollateral ligaman normaldir.Anterior çapraz bağda komplet rüptüre sekonder bütünlük kaybı izlenmiştir. Medial kollateral ligamende incelme ve periligamentöz ödem izlenmiştir. Distal kuadriseps ve patellar tendonlar normaldir. Patella normal yerleşimlidir. Retinaküler devamsızlık yoktur.Suprapatellar bursa ve diz eklem mesafesinde sıvı artışı izlenmiştir.Femur lateral kondilde subartiküler nondeplase fraktür ve komşu kemik iliğinde ödem izlenmiştir.Tibia lateral plato posteriorunda fibula başında kontüzyonel kemik iliği ödemleri izlenmektedir.Tibianın tibiafemoral eklemden hafif anteriora doğru subluksasyonu izlenmiştir.Soleus kası proksimal kesimde kas dokuda STIR sekans ödeme bağlı sinyal artışı, kas basısında sıvı artışı mevcuttur.SONUÇ:Anterior çapraz bağ komplet rüptürü.Tibia ve femurda kissing kontüzyon ve femurda subartiküler fraktür.Tibianın anteriora hafif subluksasyonu.Medial ve lateral menisküste grade II meniskopati.Medial kollateral ligamanda grade I sprain.Suprapatellar bursit, diz ekleminde hafif sinovit.Soleus kasında grade I strain .</t>
  </si>
  <si>
    <t>Exam Type: MRI KNEE LEFT WO CONTRAST
Exam Date and Time: [DATE] [TIME]
Indication: Pain.
Comparison: [REDACTED].
TECHNIQUE:
MRI of the lumbar knee was performed on a 3.0 Tesla system with a dedicated knee coil in three planes (axial, sagittal, and coronal), using a standard non-contrast protocol.
FINDINGS:
OSSEOUS STRUCTURES:
Minimal degenerative subchondral bone marrow edema is present at the lateral tibiofemoral compartment related to overlying chondrosis. No acute fracture or bone bruise. Background marrow signal is normal without infiltrative marrow process. No aggressive osseous lesions.
JOINT SPACE:
Small joint effusion. No intra-articular bodies. Moderate-sized Baker cyst with slight surrounding edema likely representing leakage.
There are postoperative changes anteriorly consistent with previous arthroscopic surgery.
MEDIAL COMPARTMENT:
Medial meniscus: Normal in morphology and signal.
Medial compartment cartilage: Cartilage appears intact.
LATERAL COMPARTMENT:
Lateral meniscus: There is a diminutive appearance of the body and posterior horn consistent with previous partial meniscectomy. There is irregularity of the inner margin diffusely consistent with recurrent tear. There is moderate extrusion.
Lateral compartment cartilage: Mild cartilage thinning and fissuring is present at the posterior and peripheral weightbearing aspect, with minimal degenerative subchondral bone marrow edema.
PATELLOFEMORAL COMPARTMENT:
Patellofemoral compartment cartilage: There is mild cartilage thinning and surface irregularity at the patella and trochlea, medial greater than lateral.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with diffuse thickening.
Patella tendon: Moderate tendinosis with diffuse thickening.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A thickened medial patellar plica is present, extending into the patellofemoral compartment.
MUSCLES/TENDONS:
No acute muscle strain or muscle atrophy. Visualized tendons not previously discussed are intact without tendinosis or tear.
SOFT TISSUES:
No soft tissue mass. Normal popliteal neurovascular bundle.
[REDACTED]. Lateral compartment chondrosis appears new or increased. Otherwise, no significant interval change.
IMPRESSION:
1. Previous partial lateral meniscectomy with recurrent tear.
2. Chondrosis in the patellofemoral and lateral tibiofemoral compartment.
3. Quadriceps and patellar tendinosis.
4. Thickened medial patellar plica.
5. Small joint effusion. Moderate Baker cyst with evidence of leakage.</t>
  </si>
  <si>
    <t>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χιαστών και πλαγίων συνδέσµων δεν παρατηρούνται αξιόλογα ευρήµατα. Απλή εκφύλιση παρατηρείται στον έξω µηνίσκο. Εκφύλιση και ήπιο υπεξάρθρηµα παρατηρείται στον έσω µηνίσκο. Στο έσω διαµέρισµα παρατηρούνται επιπλέον ήπιο υπαρθρικό οστεοµυελικό οίδηµα στον έσω µηριαίο κόνδυλο και εστιακή διάβρωση του αρθρικού χόνδρου του έσω µηριαίου κονδύλου στον άξονα φόρτισης (ICRS grade II). Μόλις αναγνωρίζεται οστεοµυελικό οίδηµα στην άπω επίφυση του µηριαίου οστού και στην εγγύς επίφυση της κνήµης. Συλλογή υγρού παρατηρείται ενδαρθρικά µε κατά τόπους πάχυνση του υµένα. Από τον έλεγχο του εκτατικού µηχανισµού δεν παρατηρούνται αξιόλογα ευρήµατα. Συµπέρασµα: Ευρήµατα αρχόµενης εκφυλιστικής οστεοαρθρίτιδας κατά το έσω διαµέρισµα. Λόγω της ήπιας υµενίτιδας συνιστάται ρευµατολογικός έλεγχος για διερεύνηση πιθανής υποκείµενης φλεγµονώδους αρθρίτιδας. Το µόλις αναγνωρίσιµο οστεοµυελικό οίδηµα στις επιφύσεις περιαρθρικά, θα µπορούσε να αποδοθεί σε αρχόµενο µικροδοκιδώδες κάταγµα ανεπάρκειας χωρίς καθίζηση της αρθρικής επιφάνειας. 
[BILATERAL NOTE: two reports filed under this study]
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χιαστών και πλαγίων συνδέσµων, του έσω µηνίσκου, του οστικού µυελού και του αρθρικού χόνδρου δεν παρατηρούνται αξιόλογα ευρήµατα. Ο έξω µηνίσκος έχει δισκοειδή µορφολογία. Από τον έλεγχο του εκτατικού µηχανισµού παρατηρείται ευµεγέθης συγγενώς κάτω πόλος της επιγονατίδας (elongated patella) καθώς επίσης και οίδηµα του υπερεπιγονατιδικού λιπώδους σώµατος που συνηγορεί για πρόσκρουση του τετρακεφάλου τένοντα επί του µηριαίου οστού. Μικρή συλλογή υγρού παρατηρείται ενδαρθρικά σε επικοινωνία µε µικρή συνοβιακή κύστη Baker.</t>
  </si>
  <si>
    <t>There is a mild knee effusion. Normal medial and lateral menisci. No evidence of tears.  ACL is ruptured in its mid substance. There is mild residual bone contusion in the weightbearing aspect of the lateral femoral condyle and posterior aspect of the lateral tibial condyle. Mild anterior translation of the lateral tibial plateau is seen in relation to femur.  Normal PCL, MCL and LCL. Normal extensor mechanism.  The tibiofemoral and patellofemoral articular cartilage is normal. Normal visualized remaining bones and surrounding soft tissues.  Conclusion: ACL rupture.</t>
  </si>
  <si>
    <t>Technique: MRI of the knee. ACL normal.  MCL normal. Medial meniscus tear. Lateral meniscus normal.  Cartilages normal. No baker's cyst. No effusion. Conclusion: Medial meniscus tear.</t>
  </si>
  <si>
    <t>SAĞ DİZ MRG. Tetkik protokolü: Çok düzlemli, çok sekanslı. Bulgular: Lateral menisküs normal. Medial menisküs ekstrüde görünümde olup posterior hornunda yırtık ile uyumlu sinyal değişiklikleri mevcuttur. Arka çapraz bağ, çm çapraz bağ , lateral ve medial kollateral ligaman normaldir.Medial kollateral ligaman çevresinde sıvı artışı izlenmiştir. Distal kuadriseps ve patellar tendonlar normaldir. Patella normal yerleşimlidir. Retinaküler devamsızlık yoktur.Suprapatellar bursada sıvı artışı izlenmiştir. Tibia proksimali ve femur distal epikondil seviyesi medialde kemik iliği ödemi ile uyumlu görünümler mevcuttur. Bu düzeyde eklem aralığı belirgin daralmıştır.Popliteal fossada 54x15 mm çapta Baker kisti ile uyumlu görünüm mevcuttur.</t>
  </si>
  <si>
    <t>No evidence of knee effusion. Normal medial and lateral menisci. No evidence of tears.  ACL is ruptured. There is mild anterior translation of the lateral tibial plateau in relation to femur.  Normal PCL, MCL and LCL. Normal extensor mechanism.  The tibiofemoral and patellofemoral articular cartilage is normal. A bone contusion is noted in the posterolateral corner of the lateral tibial plateau.  
Conclusion: Mild effusion. ACL rupture. Posterolateral tibial contusion.</t>
  </si>
  <si>
    <t>SAĞ DİZ MRG. Tetkik protokolü: Çok düzlemli, çok sekanslı. Bulgular: Medial menisküste grade II dejenerasyon, radial yırtık ile uyumlu görünüm mevcuttur. Lateral menisküste grade II dejenerasyon, kova sapı yırtığı ile uyumlu görünüm mevcuttur. Arka çaprazda fokal sinyal artışları mevcuttur. Ön çapraz bağ devamlılığı seçilememiştir (komplet yırtık). Lateral ve medial kollateral ligamanlar çevresinde hafif ödematöz görünüm (grade I sprain) izlenmiştir. Distal kuadriseps ve patellar tendon normaldir. Retinaküler devamsızlık yoktur. Patella normal yerleşimlidir.İnfrapatellar yağ yastıkçığında ödematöz görünüm izlenmiştir.Suprapatellar bursada ve diz eklemi içerisinde yaygın sıvı artışı izlenmiştir. Femur lateral kondil ve tibia lateral plato seviyesinde yaygın kontüzyonel kemik iliği ödemleri izlenmiştir. Ayrıca fibula baş düzeyinde subkondral ve patellar kemik medullada kemik iliği ödemleri izlendi.</t>
  </si>
  <si>
    <t>ΜΑΓΝΗΤΙΚΗ ΤΟΜΟΓΡΑΦΙΑ ∆ΕΞΙΟΥ ΓΟΝΑΤΟΣ Τεχνική: Η εξέταση έγινε µε ακολουθίες παλµών Τ1, PD fs και Τ2*. Ευρήµατα: - Εκτεταµένο οίδηµα του οστικού µυελού στην εγγύς µετάφυση/επίφυση της κνήµης παριστά οστικό µώλωπα στο πλαίσιο της αναφερόµενης κάκωσης. - Οιδηµατώδης απεικόνιση του πρόσθιου χιαστού συνδέσµου µε ασυνέχεια των ινών του στο πλαίσιο υφολικής (σχεδόν πλήρους) ρήξης. - Οιδηµατώδης απεικόνιση και ασυνέχεια στην εγγύς µοίρα του έσω πλαγίου συνδέσµου µε παρουσία οιδήµατος πέριξ στο πλαίσιο µερικής ρήξης (grade 2). - Ικανή ποσότητα ενθαρθρικής συλλογής υγρού. - Συλλογή υγρού προεπιγονατιδικά στο πλαίσιο προεπιγονατιδικής ορογονοθυλακίτιδας. - Εκφύλιση παρατηρείται στο οπίσθιο κέρας του έσω µηνίσκου. - Λέπτυνση και ανωµαλία παρυφής του αρθρικού χόνδρου ιδίως στο έσω µεσάρθριο και στον έσω αρθρικό χόνδρο της επιγονατίδας στο πλαίσιο αρχόµενης οστεοαρθρίτιδας. - Από τον έλεγχο του εκτατικού µηχανισµού και του λοιπού αρθρικού χόνδρου δεν παρατηρούνται αξιόλογα ευρήµατα.</t>
  </si>
  <si>
    <t>MRI of Knee with 
-3-Plane Loc, Sag PD FS, Sag T2 FS, Sag T1, Cor T2 FS, Screen Save, Ax T2 FS
* The contour of ACL is not in a straight line and increased signal intensity inside on F/S T2WI, in favor of tear.
* High signal in the soft tissue medial to the medial collateral ligament with increased signal intensity of proximal ligament (deep MCL/meniscofemoral ligament), in favor of grade 2 injury.
* High signal in the soft tissue surrounding the medial and lateral patellar retinaculum, in favor of grade 1 injury.
* Linear signal intensity in the body and posterior horn of medial meniscus with extension to the surface, in favor of tear.
* There is a gap in the posterior horn of lateral meniscus near the posterior root (Sr/Im: [ID]; [ID].
* Bone marrow edema in distal femur, proximal tibia and fibula, and lower pole of patella, suspect bone contusion.
    A subchondral linear hypointensity over posterior aspect of medial tibial plateau on T1WI and F/S T2WI, without associated contour deformity (Sr/Im: [ID]; [ID].
* Joint effusion and suprapatellar bursitis with suprapatellar and medial plicae; hypertrophy of the synovium, indicative of synovitis.
* Irregular contour of the posterior joint capsule with interstitial high signal intensity, suspect joint capsular injury/tear.
* Subcutaneous edema in distal thigh to proximal leg and intermuscular edema in the popliteal fossa.
Impression:
1. ACL tear.
2. Grade 2 injury of MCL (especially at the deep MCL/meniscofemoral ligament). 
     Suspect grade 1 injury of medial and lateral patellar retinaculum.
3. Meniscal tear in the body and posterior horn of medial meniscus; suspect posterior root tear of lateral meniscus.
4. Bone contusion in distal femur, proximal tibia and fibula, and lower pole of patella.
     Subchondral fracture over posterior aspect of medial tibial plateau (Sr/Im: [ID]; [ID].
5. Synovitis of left knee with suprapatellar bursitis and patellar plicae.
6. Irregular contour of the posterior joint capsule, suspect joint capsular injury/tear.
7. Subcutaneous edema in distal thigh to proximal leg and intermuscular edema in the popliteal fossa.
Suggest correlated with clinical manifestation and further management.</t>
  </si>
  <si>
    <t>Patella alta (Insall-Salvati omjer 1,5), Wiberg tip III.
Iregularna, blago udubljena medijalna kontura patele u području apeksa, moguće u sklopu
impresijske frakture. Opsežan okolni koštani edem.
U području lateralnog kondila femura anteriorno od hvatišta tetive m. popliteus nalazi se
također udubljena kontura kosti na arealu oko 9 mm u promjeru, opisano može odgovarati
impresijskoj frakturi. Opsežan okolni koštani edem.
Zadebljanje i edem medijalnog patelarnog retinakuluma uz prekid kontinuiteta vlakana u
središnjem dijelu u sklopu rupture. Manja količina izljeva suprapatelarno i u medijalnom recesusu
uz naglašeniji suprapatelarni masni jastučić.
Opisane promjene najvjerojatnije posljedično lateralnoj dislokaciji patele.
Manja inzula kompakte u lateralnom kondilu femura i tibije.
Hondromalacične promjene 1. stupnja hrskavice medijalne fasete patele.
Lateralni patelarni retinakulum održan.
Početne entezopatske promjene hvatišta tetive m. quadriceps te patelarnog hvatišta
patelarnog ligamenta.
Kompletna suprapatelarna plika.
Prednji križni ligament je nešto viših intenziteta signala pri tibijalnom hvatištu, moguće stanje
nakon distenzije ili manje parcijalne rupture.
Stražnji križni ligament je primjerenih intenziteta signala, održanog kontinuiteta.
Linearni hiperintenzitet crvene zone stražnjeg roga medijalnog meniska koji može odgovarati
vaskularnoj strukturi, bez evidentne rupture.
Lateralni menisk je primjerenih intenziteta signala, bez znakova rupture.
Medijalni kolateralni ligament je primjerenih intenziteta signala, održanog kontinuiteta.
Entezopatske promjene proksimalnog hvatišta lateralnog kolateralnog ligamenta.
Entezopatske promjene i manji burzitis tetive m. popliteus.
Primjeren izgled iliotibijalnog trakta i pes anserinus.
Baker cista veličine oko 22x12x27 mm (APxLLxCC).</t>
  </si>
  <si>
    <t>Antecedentes Clínicos:
Artrosis.
Hallazgos:
Ligamentos cruzados y colaterales dentro de límites normales.
El menisco medial es de morfología y señal conservada, sin criterios categóricos de rotura.
Rotura compleja degenerativa del cuerno anterior, cuerpo, cuerno posterior y parte de la raíz
meniscal posterior del menisco lateral con extrusión asociada. Edema óseo periférico posterior de
platillo tibial lateral con pequeñas fracturas subcorticales regionales.
Úlceras condrales de espesor parcial y total de la región posterior de carga del compartimento
femorotibial lateral. Mínimos cambios óseos asociados. Condropatía superficial del compartimento
femorotibial medial y del cartílago troclear.
Úlceras condrales de espesor parcial y prácticamente total de la faceta lateral de la rótula.
Leve a moderado derrame articular con mínima sinovitis. No hay quistes poplíteos patológicos.
Tendones cuadricipital, rotuliano, tendones de la pata de ganso, bíceps femoral y banda iliotibial
dentro de límites normales.
Impresión:
Rotura compleja degenerativa del cuerno anterior, cuerpo , cuerno posterior y raíz meniscal
posterior del menisco lateral con extrusión asociada.
Condropatía lesiones grado 3 y 4 del compartimento femorotibial lateral.
Condropatía superficial del compartimento femorotibial medial y de la tróclea femoral. Condropatía
lesiones grado dos y tres de la rótula.
Leve a moderado derrame articular con mínima sinovitis</t>
  </si>
  <si>
    <t>In the medial compartment, there is buckethandle tear at the anterior horn, body and posterior horn of the medial meniscus. There is displaced meniscal fragment into the intercondylar notch. There is no focal chondrosis or chondral injury. 
 The lateral compartment, there is suspicious small longitudinal vertical tear at the periphery posterior horn of the lateral meniscus. There is focal osteochondral injury a mid weightbaring lateral femoral condyle (about intact6* 1 cm).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no anterior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Minimal amount of right knee effusion is 1. The surrounding musculature is normal. There is bone contusion at the posterolateral tibial plateau.  Acute osteochondral injury a mid weightbaring lateral femoral condyle (about intact6* 1 cm) of right knee. 
  Buckethandle tear of the medial meniscus. 
  Suspicious small longitudinal vertical tear at the periphery posterior horn of the lateral meniscus. 
  Acute complete tear of the anterior cruciate ligament, at mid substance. 
  Grade II ligamentous sprain (partial tear) of the medial collateral ligament, at mid substance (deep and superficial fibers). 
  Minimal amount of right knee effusion. 
  Bone contusion at the posterolateral tibial plateau.</t>
  </si>
  <si>
    <t>SOL DİZ MRG. Tetkik protokolü: Çok düzlemli, çok sekanslı. Bulgular: Medial menisküs posterior hornda grade III dejenerasyon ve horizontal yırtık izlendi. Medial menisküs mediale doğru ekstrude görünümdedir. Lateral menisküste grade I dejenerasyon izlendi. Ön çapraz bağda diffüz sinyal artışı izlendi(miksoid dejenerasyon). Arka çapraz bağda yer yer sinyal artışları izlendi(grade I sprain). Lateral kollateral ligaman normaldir.Medial kollateral ligamen  çevresinde ödematöz görünüm mevcuttur ( grade I sprain ).Suprapatellar bursada ,diz eklemi içerisinde yaygın sıvı artışı izlendi. Femur medial kondil  tibiofemoral eklem yüzüne bakan  düzeyde subartiküler fraktür hattı ve komşu kemikte yaygın ödem izlendi. Bu düzeyde eklem aralığı daralmıştır. Arka çapraz bağ tibia yapışma düzeyinde subkondrial milimetrik kistler izlendi.Diz eklemi prepatellar düzeyde cilt altı yağlı dokuda ödematöz görünüm mevcuttur.</t>
  </si>
  <si>
    <t>Antecedentes Clínicos:
Esguince del ligamento colateral medial.
Hallazgos:
No hay alteraciones de señal significativas de la médula ósea.
Engrosamiento y aumento de señal con pérdida parcial de la continuidad del tercio medio proximal
del componente superficial del ligamento colateral medial con edema de las partes blandas
adyacentes. El resto de los componentes del complejo medial dentro de límites normales.
El menisco lateral es de morfología y señal conservada, sin signos de rotura. Menisco medial de
morfología conservada, con aumento de señal del meniscocapsular a su cuerno posterior.
Cartílagos de los compartimentos femorotibiales y patelofemorales sin alteraciones.
Leve derrame articular. Pequeño quiste poplíteo, sin signos de complicación.
Cambios entesopáticos cuadricipitales distales. Tendón rotuliano, tendones de la pata de ganso,
bíceps femoral y banda iliotibial dentro de límites normales.
Impresión:
Signos de un esguince grado II del componente superficial del ligamento colateral medial.
Signos de aumento de señal meniscocapsular del cuerno posterior del menisco medial que podría
representar una lesión parcial regional.
Leve derrame articular. Pequeño quiste poplíteo.
Cambios entesopáticos cuadricipitales distales</t>
  </si>
  <si>
    <t>COMPARISON:None.
CLINICAL HISTORY:Left knee pain and swelling after fall. Medial joint line pain. Suspected bone contusion/meniscal tear.
PROCEDURE:Multisequence, multiplanar unenhanced MRI of the left knee according to routine protocol.
IMAGING FINDINGS:
Nondiagnostic scout localizing images reviewed.
The lateral meniscus is intact. The medial meniscus is intact.
High-grade partial-thickness tear involving the anterior cruciate ligament near the femoral attachment. No anterior tibial translation. Osteochondral impaction injury posterior lateral tibial plateau and posterior medial tibial plateau without evidence of displacement and osteophyte fragment. The posterior cruciate ligament is intact.
Low-grade partial-thickness tear involving the proximal fibers of the superficial and deep medial collateral ligament. The distal fibers are intact. The posterior oblique ligament is intact.
The fibular collateral ligament is intact. Popliteus and biceps femoris tendon attachments are intact. The iliotibial band is intact.
The patellar retinacula are intact. No femoral dysplasia. The TT-TG distance measures 12 minutes, within normal limits. The quadriceps and patellar tendons are intact.
Scattered foci of mild chondrosis throughout the patellofemoral compartment. Preserved medial and lateral femorotibial articular cartilage.
Small knee joint effusion. Regional musculature is within normal limits. No suspicious focal marrow signal alteration. 
IMPRESSION:
1. High-grade partial-thickness tear of the anterior cruciate ligament.
2. Low-grade partial tear of the medial collateral ligament.
3. Osteochondral impaction injuries posterior medial tibial plateau and posterior lateral tibial plateau without evidence of displaced or unstable osteochondral fragment.
4. Mild patellofemoral chondrosis.
5. Intact menisci.</t>
  </si>
  <si>
    <t>Antecedentes Clínicos:
Artrosis.
Hallazgos:
No hay alteraciones en significativas de la médula ósea.
Ligamentos cruzados y colaterales dentro de límites normales.
Aumento de señal central del cuerno posterior y cuerpo del menisco medial que no impresiona
contactar con la superficie articular, sin caracteres propios de rotura.
Rotura del cuerno anterior, cuerpo y parte del cuerno posterior del menisco lateral con edema las
partes blandas perimeniscal es, quistes para meniscales y moderada extrusión meniscal.
Úlceras condrales de espesor parcial y prácticamente total de la zona de carga del compartimento
femorotibial lateral. Cartílagos del compartimento femorotibial medial y de la tróclea femoral sin
alteraciones. Condropatía rotuliana superficial la faceta lateral.
Leve derrame articular con mínima sinovitis.
Tendones cuadricipital, rotuliano, tendones de la pata de ganso, bíceps femoral y banda iliotibial
dentro de límites normales.
Impresión:
Rotura compleja del menisco lateral con extrusión asociada de quistes para meniscales.
Condropatía lesiones grado 2 y 3 de la zona de carga del compartimento femorotibial lateral.
Condropatía rotuliana superficial.
Leve derrame articular con mínima sinovitis</t>
  </si>
  <si>
    <t>Technique: MRI of the knee. ACL normal. MCL normal. Medial meniscus mucoid degeneration. Lateral meniscus normal. OA of medial compartment. No baker's cyst. Effusion with synovitis. Conclusion: OA of medial compartment. Effusion with synovitis.</t>
  </si>
  <si>
    <t>МР находка: МР данни за фрактура в областта на латералното тибиално плато, без дислокация. Наличие на костно-мозъчен едем около фрактурата. Контузионен костно-мозъчен едем се визуализира и в латералния феморален кондил. МР данни за руптура на предната кръстна връзка. На топичното място на връзката се вижда зона на патологично променен сигнален интензитет, съответстваща на дезорганизирани съединително-тъканни влакна, оток и кръв. Хеморагичен излив в ставата. МР данни за MPFL лезия – скъсване на медиалния поплите-феморален лигамент. Скъсването на лигамента е на залавното му към фемура място. Задна кръстна връзка – без особености.  Менискуси – без особености. Ставният хрущял е интактен. Сухожилие на м.квадрицепс феморис и лигамент на пателата – нормално изобразяване. Оток на меките тъкани около коляното.
Заключение:  МР данни за фрактура без дислокация в областта на латералното тибиално плато. Скъсване на предната кръста връзка. MPFL лезия.  Ставен излив.</t>
  </si>
  <si>
    <t>MRI right knee
INDICATION: Assess ligamentous injury
There is a vertical tear in the periphery of the posterior horn of the medial meniscus. No lateral meniscal tear. Complete rupture of the ACL. Complete rupture of the PCL. Extensor mechanism intact. Complete rupture of the MCL at the level of the medial jointline. The proximal fibers are squiggly. IT band intact. High-grade partial tear of the proximal lateral collateral ligament. Mild sprain of the proximal popliteus tendon. Biceps femoris intact.
Small joint effusion. Circumferential soft tissue swelling and edema about the knee. Mild strain of the vastus lateralis. Mild prepatellar bursitis. 
Subchondral fracture in the lateral tibial plateau extending for an AP dimension of 2.7 cm with underlying bony edema. Findings are consistent with an osteochondral impaction fracture. Tiny bone bruise at the posterior aspect of the lateral tibial plateau. No fibular fracture. Medial compartment cartilage is intact. Slight chondrosis medial patella. No cartilage defects in the trochlea. Small congruent at the posterior aspect of the medial tibial plateau.
IMPRESSION:
Vertical tear posterior horn medial meniscus. No lateral meniscal tear.
Complete rupture ACL, PCL and mid fibers of the MCL.
High-grade partial tear proximal LCL. Sprain of proximal popliteus.
Hairline subchondral fracture lateral tibial plateau with diffuse underlying bony edema. Tiny bone bruise posterior aspect lateral tibial plateau. Small bone bruise posterior aspect medial tibial plateau.</t>
  </si>
  <si>
    <t>[DATE]: MR Knie Rechts 15ch AA: Klinische inlichtingen: Zie gescande aanvraag Diagnostische vraagstelling: Zie gescande aanvraag Bevindingen: Impactiefractuur op centraal dragende deel van de laterale femorale condylen, gepaard gaand met uitgebreid botoedeem . Minstens botcontusie, mogelijks kleine niet-verplaatste fractuur posterieur aspect laterale tibiaplateau. Volledige scheur van de voorste kruisband, onregelmatig voorkomend, discontinu, met uitgebreid infiltratie van de omliggende weefsels. Matige opzetting van suprapatellaire recessus. Licht verdikt voorkomen mediale collaterale ligament, proximaal, met vocht oppervlakkig en diep aan het mediale collaterale ligament. Normaal voorkomen menisci. Normaal voorkomen kraakbeen. Licht verdikt voorkom end proximale patellapees, met minimaal gestegen T2-signaal, met m inimale infiltratie van het Hoffa vetpad aanliggend. Besluit: Ernstige distorsio van de rechterknie met : - Volledige ruptuur van de voorste kruisband, - Parti ële scheur proximaal op het mediale collaterale ligament, graad 2. Kleine impactiefractuur centraal dragende deel van de laterale femorale condyl, geassocieer d. Matige tendinose/chronische tendinitis proximale patellapees .</t>
  </si>
  <si>
    <t>Koštani edem medijalnog kondila femura, anterionog dijela medijalnog kondila tibije te lateralnog
tubera interkondilarne eminencije tibije.
Obzirom erozivne promjene zglobne hrskavice medijalnog kompartmenta femorotibijalnog zgloba
opisano vjerojatno u sklopu OA promjena.
Prikaže se hondromalacija II° hrskavice lateralnog tibijalnog platoa te hondromalacija I°
lateralne fasete patele.
Prikazana zglobna tijela primjereno su uzglobljena.
Prednji križni ligament održanog kontinuiteta, umjereno do teško degenerativno promijenjen.
Stražnji križni ligament je primjerenih intenziteta signala i održanog kontinuiteta.
Degenerativno promijenjenmedijalni menisk, osobito u području trupa i stražnjeg roga gdje se
prati kompleksna ruptura s radijalnom i horizontalnom komponentom koja se pruža prema
femoralnoj plohi.
Lateralni menisk bez znakova rupture blaže degenerativno promijenjen u prednjem rogu i
prednjem korijenu.
Lateralni i medijalni kolateralni ligamenti su primjerenih intenziteta signala, održanog
kontinuiteta.
Burzitis tetive popliteusa.
Uredan prikaz iliotibijalnog trakta i pes anserinus.
Entezopatske promjene tetive kvadricepsa.
Patelarni ligament su primjerenih intenziteta signala, održanog kontinuiteta.
Inkompletna suprapatelarna plica.
Patelarni retinakulumi održani.
Manja količina izljeva u zglob.
Baker cista veličine 22x31x37 mm (apxllxcc).</t>
  </si>
  <si>
    <t>FINDINGS:
Fractures:
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 The fracture involves the central portion of the medial tibial plateau articular surface anteriorly and posteriorly with articular surface collapse of 3 mm anteriorly and 5 mm posteriorly, as well as a step deformity of up to 2 mm posteriorly.
Small mildly displaced avulsion fracture of the lateral corner of lateral tibial plateau [Segond fracture].
Small mild osteochondral impaction at the anterior lateral weightbearing aspect of lateral femoral condyle.
There is associated bone marrow edema associated with these fractures.
Joint alignment:
Mild widening of the medial femorotibial joint space. Otherwise preserved articular alignment.
Degenerative changes:
None.
Bone marrow signal:
Additional small area of bone marrow edema on the medial side of medial femoral condyle without evidence of associated fracture.
Anterior cruciate ligament: The distal bony avulsion with laxity of the ACL, showing some internal high T2 signal changes compatible with additional low-grade partial ligamentous tear.
Posterior cruciate ligament: Intact with mild laxity.
Medial collateral ligament: Complete tear of the superficial portion at the mid to distal third. Moderate grade partial tear of the deep meniscal femoral and meniscal tibial components with partial meniscocapsular separation of the medial meniscal body.
Lateral collateral ligament complex: Low-grade sprain of the proximal lateral collateral ligament. The other associated structures are intact.
Medial meniscus: Mild nonspecific signal changes of the meniscal body, with evidence of small horizontal oblique tear extending to the femoral surface. No other significant tear. Bony avulsion of the posterior horn root insertion as detailed above.
Lateral meniscus: Mild nonspecific signal changes at the anterior horn compatible with low-grade tearing. Evidence of small Wrisberg rip-type longitudinal tear of the periphery of the posterior horn. Complete tear of the inferior meniscal popliteal fascicle compatible with posterior lateral corner injury. There is a bony avulsion of the anterior horn and posterior horn root insertion sites.
Extensor tendons: Normal.
Patellar retinacula: Moderate grade partial tear of the medial retinaculum.
Pes anserinus: Normal.
Posteromedial and posterolateral corner: Diffuse signal change and mild thickening of the distal semimembranosus tendon compatible with low to moderate grade partial tearing.
Complete tear of the inferior meniscal popliteal fascicle compatible with posterior lateral corner injury.
Joint effusion: Large joint effusion.
Baker cyst: None.
Other significant findings:
None.
CONCLUSION:
*Comminuted mildly displaced avulsion fracture of the tibial spine with mild comminution, including the distal insertion of the ACL, the anterior horn root insertion of the lateral meniscus, and posterior horn root insertion zone of the medial and lateral menisci. Intra-articular fracture extension involving the central portion of the medial tibial plateau with small gap/step as described.
*Small mildly displaced lateral corner fracture of the lateral tibial plateau [Segond fracture].
*Small osteochondral impaction fracture of the lateral corner of lateral femoral condyle.
*High-grade tear of the medial collateral ligament.
*Low-grade partial tear/sprain of the anterior cruciate ligament and lateral collateral ligament.
*Additional low-grade tears involving the medial and lateral menisci as described.
*Moderate grade partial tear of the medial patellar retinaculum.
*Posteromedial and posterolateral corner injuries as described.
*Large joint effusion.</t>
  </si>
  <si>
    <t>In the medial compartment, there is radial tear at the posterior root of the medial meniscus. There is displaced meniscal fragment into the medial gutter. There is diffuse high grade and low grade chondrosis (less than and more than 50% thickness cartilage loss) along weightbaring medial femoral condyle and medial tibial plateau. There is subchondral edema. Osteophytes are present. 
 The lateral compartment, there is small horizontal tear at the anterior horn of the lateral meniscus. There is focal high grade chondrla defectat mid lateral tibial plateau (about 1.2* 1.1 cm). There is no subchondral edema. Osteophytes are present.  
 The patellofemoral joint, there is diffuse low grade and high grade chondrosis (less than and more than 50% thickness cartilage loss) along medial and lateral trochleas, medial and lateral patellar facets. There is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A 1.5*1.5* 4.5 cm baker's cyst at the posteromedial aspect of left knee. The surrounding musculature is normal.  Tricompartmental osteoarthritis of the left knee by evidence of chondrosis, subchondral edema, and osteophytes. 
  Radial tear at the posterior root of the medial meniscus. (note: meniscal extrusion into the medial gutter). 
  Suspected small horizontal tear at the anterior horn of the lateral meniscus.  
  Some amount of left knee effusion with synovitis and 1.5*1.5* 4.5 cm baker's cyst.</t>
  </si>
  <si>
    <t>SAĞ DİZ MRG. Tetkik protokolü: Çok düzlemli, çok sekanslı. Bulgular: Medial menisküs posterior hornda radial yırtık hattı izlenmiştir.Lateral menisküste grade II dejenerasyon saptanmıştır. PCL hafif elonge görünümdedir, sinyal bütünlüğü korunmuştur. ACL'de parsiyel rüptürü düşündüren devamsızlık, trasesinde sinyal-kalınlık artışı izlenmiştir. Lateral ve medial kollateral ligaman normaldir.Distal kuadriseps ve patellar tendonlar normaldir. Patella normal yerleşimlidir. Retinaküler devamsızlık yoktur.Suprapatellar bursada, diz eklem kapsülünde artmış efüzyon mevcuttur.</t>
  </si>
  <si>
    <t>Técnica: RMN de la rodilla. Resultados: Pinzamiento de la almohadilla grasa de Hoffa. Síndrome de fricción de la banda iliotibial. Condropatía rotuliana. Impresión: Pinzamiento de la almohadilla grasa de Hoffa. Síndrome de fricción de la banda iliotibial. Condropatía rotuliana.</t>
  </si>
  <si>
    <t>Exam Type: MRI KNEE LEFT WO CONTRAST
Exam Date and Time: [DATE] [TIME]
Indication: Left knee pain for 4 weeks after injury at gym.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Focal bone marrow edema at the anteromedial tibial plateau. Small focal osteochondral impaction injury at the posterior lateral femoral condyle.
JOINT SPACE:
No joint effusion. No Baker's cyst.
MEDIAL COMPARTMENT:
Medial meniscus: No tear.
Medial compartment cartilage: Intact.
LATERAL COMPARTMENT:
Lateral meniscus: No tear.
Lateral compartment cartilage: Intact.
PATELLOFEMORAL COMPARTMENT:
Patellofemoral compartment cartilage: Low-grade articular cartilage loss at the lateral and medial patellar facets.
CRUCIATE LIGAMENTS:
Anterior cruciate ligament (ACL): No tear.
Posterior cruciate ligament (PCL): No tear.
COLLATERAL LIGAMENTS &amp; POSTEROLATERAL CORNER:
Medial collateral ligament (MCL): Grade 2 injury.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12 mm, normal.
MUSCLES/TENDONS:
No disproportionate muscle atrophy. Visualized tendons not previously discussed are intact.
SOFT TISSUES:
No soft tissue mass. Normal popliteal neurovascular bundle.
IMPRESSION:
1.	Small acute osteochondral impaction injury at the posterior lateral femoral condyle. Small focus of bone marrow edema at the anteromedial tibial plateau, likely a contusion.
2.	Grade 2 medial collateral ligament (MCL) sprain.
3.	Mild patellofemoral compartment chondrosis.</t>
  </si>
  <si>
    <t>MRI of Knee with 
-3-Plane Loc, Sag PD FS, Sag T2 FS, Sag T1, Cor T2 FS, Ax T2 FS
&gt; The contour of ACL is not in a straight line and increase signal intensity inside on F/S T2WI, in favor of tear, major at proximal portion.
&gt; The contour of PCL appears to be within normal, no abnormal signal intensity is noted.
&gt; Joint effusion and suprapatellar bursitis with suprapatellar, lateral and medial plicae; hypertrophy of the synovium, indicative of synovitis.
&gt; Linear signal intensity in posterior horn of medial meniscus, and increased signal of meniscocapsular junction, R/O Ramp lesion or peripheral longitudinal tear of posterior horn of medial meniscus.
&gt; Both medial &amp; lateral collateral ligaments appear to be within normal.
&gt; Abnormal signal intensity is noted in proximal tibia and distal femur, which shows low signal intensity on T1WI and high signal intensity on T2WI, in favor of bone contusion, more prominent at lateral side.
  In favor of subchondral fracture of lateral femoral condyle.
&gt; Subcutansoue edema over right knee, more prominent at anterior portion; mild deep infrapatellar bursitis.
&gt; Focal wearing of articular cartilage of femoral trochelam reflecting grade 3-4 chondromalacia and mild subchondral edema (Srs/Img: [ID]
&gt; Small lymph node in popliteal fossa.
Impression: 
1. C/W ACL tear.
2. R/O Ramp lesion or peripheral longitudinal tear of posterior horn of medial meniscus.
3. Bone contusion in right distal femur and proximal tibia, R/O subchondral fracture of lateral femoral condyle.
4. Grade 1 injury of LCL and popliteus tendon
5. Grade 3-4 chondromalacia and mild subchondral edema of femoral trochlea(Srs/Img: [ID].
6. Moderate joint effsuion and synovitis of right knee and patellar plicae.
7. Subcutaneous edema over right knee and deep infrapatellar bursitis.
Suggest correlation with clinical manifestation</t>
  </si>
  <si>
    <t>T2-hyperintense lineare radiale Läsion der Pars intermedia des Innenmeniskus mit inkompletter Separation eines kleinen Lappens (3/7, 5/109-110). Die initial extruierte Pars intermedia des Innenmeniskus im Corpusbereich mukoid aufgefasert. Weitere zarte horizontale T2-Hyperintensität im Innenmeniskushinterhorn (3/7, 4/20). Fokal T2-hyperintenses Signal im medialen Tibiaplateau (7/22). Flüssigkeitssignal ums MCL. VKB, HKB, MCL und LCL intakt und physiologisch signalgebend. Kleine zystoide Veränderungen an den Insertionsstellen des VKB. Geringer Gelenkerguss. Baker-Zyste; diese bis 2 x 1,5 x CC 3,5 cm Ausdehnung.</t>
  </si>
  <si>
    <t>МР находка: МР данни за ставен излив. Изобразява се остеохондрална фрактура в областта на медиалния кондил на бедрената кост. Фрактурата се представя като хипоинтензна линия с дъговидна форма. Налице е костно-мозъчен едем в костта, както и депресия на медиалното плато. В този участък се изобразява и изтъняване на артикулиращия хрущял на кондила на протежение от около 9 мм. Костно-мозъчен едем е налице в медиалното тибиално плато, както и в отграничен участък от латералния кондил на фемура. Ставният хрущял, покриващ тибията и латералния кондил на бедрената кост, е със запазена дебелина и конгруентност.
МР данни за руптура на задния рог на медиалния менискус. В задния рог на медиалния менискус се изобразява хиперинтензна линия с кос ход, достигаща до края на менискуса и до артикулиращата повърхност на тибията. МР данни за дегенеративни промени в задния рог на латералния менискус. В него се вижда къса хиперинтензна линия с хоризонтален ход, не достигаща до ставните повърхности. Нормално изобразяване на предния рог на медиалния менискус и на 
предния рог на латералния менискус. Латералният менискус е лекостепенно експулсиран встрани. МР данни за пълна руптура на предната кръстна връзка в залавното ѝ място за фемура. Връзката е с разширен напречник и е с дифузно повишен сигнален интензитет. Задна кръстна връзка – интактна. Двата колатерални лигамента са с правилна форма, хомогенна структура и сигнален интензитет до залавните им места. Патела, хрущял на пателата, ретинакулуми – б.о. Сухожилие на m. quadriceps femoris, lig. patellae – нормален образ. Изобразени мускулни групи и останали меки тъкани – нормален образ. Наличие на малка еднокамерна Бекерова киста в поплитеалната ямка с размер 17/12 мм. Заключение: МР данни за остеохондрална фрактура в медиалното плато на бедрената кост. Скъсване в заден рог на медиален менискус - grade 3. Лезия в задния рог на латералния менискус – grade 2a. Пълна руптура на предна кръстна връзка. Ставен излив. Травматичен костно-мозъчен едем. Малка Бекерова киста.</t>
  </si>
  <si>
    <t>Technique: MRI of the knee. ACL normal. MCL normal. Medial meniscus tear. Lateral meniscus normal. Cartilages normal. Medial retinaculum rupture and medial patello-femoral ligament tear at the site of femoral attachment with haematoma. No Baker's cyst. Mild effusion. Patella type 3 Wiberg. Hypoplastic trochlea. Coclusion: . Medial retinaculum rupture and medial patello-femoral ligament tear at the site of femoral attachment with haematoma.</t>
  </si>
  <si>
    <t>Zglobna tijela PF zgloba su kongruentna.
PF artrotske promjene s reduciranim zglobnim prostorom, manjim izljevom i hondromalacijom IV
stupnja hrskavice interfasetarno.
Hondromalacija II.stupnja lateralnog platoa tibije i hrskavice medijalnog kondila femura. OA promjene obostrano, izraženije lateralno uz osteofite.
Plato tibije interkondilarno straga pokazuje više manjih subhondralnih cista.
Minimalni izljev.
Prednji križni ligament u području distalnog hvatišta pokazuje trokutasti hiperintenzitet koji
može odgovarati manjoj intrasupstancijskoj rupturi.
Vertikalna ruptura stražnjeg roga medijalnog meniska koja seže i zahvaća donju artikulacijsku
plohu uz promijenjen intenzitet signala posteromedijalnog dijela zglobne čahure i meniskotibijalne
sveze - ramp lezija .
Uz stražnju konturu meniska vidi se nekoliko milimetarskih ganglion cista.
Početno degenerativno promijenjen intenizet signala preostalog dijela medijalnog meniska.
Manja ekstruzija dijela diska u meniskotibijalni recesus.
Lateralni menisk bez znakova degeneracije ili rupture.
Stražnji križni ligament urednog signala te se prati u kontinuitetu.
Lateralni i medijalni kolateralni ligamenti urednog signala te se prate u kontinuitetu.
Blage tendinopatske promjene hvatišta tetive kvadricepsa.
Uredan izgled patelarnog ligamenta.
Bez znakova poplitealne ciste.</t>
  </si>
  <si>
    <t>In the medial compartment, there is complex tear (main radial component) at the body and posterior horn of the medial meniscus. There is displaced meniscal fragment into the medial gutter. There is diffuse high grade and low grade chondrosis (less than and more than 50% thickness cartilage loss) along weightbaring medial femoral condyle and medial tibial plateau. There is no subchondral edema. Osteophytes are present. 
 The lateral compartment, there is complex tear with buckethandle tear at the anterior horn, body and posterior horn of the lateral meniscus. There is focal high grade chondrosis at the the posterolateral tibial plateau (about 1.5* 1.9 cm). There is subchondral edema. Osteophytes are present.  
 The patellofemoral joint, there is focal grade  chondrosis (less than 50% thickness cartilage loss) at the medial patellar facet (about 1.3* 1 cm). The medial patellofemoral ligament is intact.  
 In the intercondylar notch, there is chronic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present.The surrounding musculature is normal.  Mild medial tibiofemoral compartmental osteoarthritis of the right knee by evidence of chondrosis, subchondral edema and osteophytes. 
  Focal high grade chondrosis at the the posterolateral tibial plateau (about 1.5* 1.9 cm).  
  Focal low grade  chondrosis at the medial patellar facet (about 1.3* 1 cm).  
  Complex tear (main radial component) at the body and posterior horn of the medial meniscus. (note: displaced meniscal fragment into the medial gutter). 
  Complex tear with buckethandle tear at the anterior horn, body and posterior horn of the lateral meniscus. 
  Chronic complete tear of the anterior cruciate ligament, at mid substance.  
  Minimal amount of right knee effusion.</t>
  </si>
  <si>
    <t>Right knee pain. R/O ACL insufficiency. 
MRI of right knee without contrast. 
Pulse sequences: sagittal T1, axial, coronal, sagittal T2 FS, sagittal PD FS
Findings: 
1. Suggestive of complete tear of ACL. 
The PCL appears intact. 
2. Tear of the posterior horn of medial meniscus.
The lateral meniscus shows no obvious tear. Suspected meniscocapsular separation over posterior horn of lateral meniscus. 
3. The medial &amp; lateral collateral ligaments, quadriceps &amp; patellar tendons show intact appearance. 
4. Mild to moderate knee joint effusion. 
5. Bone marrow edema over lateral tibial plateau. 
Periarticular &amp; intraarticular soft tissue edema mainly over prepatellar &amp; infrapatellar area. 
6. Intact patellar cartilage. 
IMP:
Complete ACL tear. 
Tear of posterior horn of medial meniscus. 
Suspected meniscocapsular separation over posterior horn of lateral meniscus. 
Mild to moderate knee joint effusion. 
Bone marrow edema over lateral tibial plateau.
Suggest clinical correlation and further management.</t>
  </si>
  <si>
    <t>Uznapredovale goanrtrotske promjene uz opsežan zglobni izljev i umjerenu proliferaciju sinovije.
Zone rekonverzijhe koštane srži u metafizi femura.
Denudacija hrskavice medijalnog kompartmenta FT zgloba te fisure i erozije hrskavica lateralnog
kompartmenta.
Hondromalacija III° obje fasete patele i trohleje femura, uz reduciranu debljinu navedenih
hrskavica te opsežne osteofite FP zgloba - opisano u sklopu navedenih OA promjena.
Prikazana zglobna tijela primjereno su uzglobljena.
Kompleksna ruptura oba meniska uz obostrano ekstruziju oko 5 mm, oba meniska značajno
degenerativno promijenjena.
Potpuna ruptura prednjeg križnog ligamenta.
Stražnji križni ligament u proksimalne 2/3 izrazito edematozan, zadebljan (širine 12 mm), uz
tibijalno hvatište nalazi se više ganglion cisti promjera do 7 mm. - dif. dg. uslijed
uznapredovalih degenerativnih promjena ili parcijalne rupture starijeg datuma.
Lateralni kolateralni ligament je vretenasto zadebljan pri hvatištu na lateralni epikondil femura te
promijenjenog intenziteta signala pri hvatištu na glavu fibule, moguće stanje po ranijoj
parcijalnoj rupturi ili uslijed entezopatskih promjena.
Medijalni kolateralni ligament je vretenasto zadebljan pri hvatištu na medijalni epikondil femura
uz periligamentarni edem, vjerojatno uslijed entezopatskih promjena.
Tetiva popliteusa edemazotna, izmijenjenog intenziteta signala, u smislu tendinopatije.
Uredan prikaz iliotibijalnog trakta i pes anserinus.
Tetiva kvadricepsa i patelarni ligament su izmijenjenih intenziteta signala na hvatištima za
patelu, održanog kontinuiteta - entezopatske promjene.
Patelarni retinakulumi održani.
Poplitealna cista promjera 5 mm.</t>
  </si>
  <si>
    <t>Técnica: RMN de la rodilla. Resultados: Cambios de señal en el menisco interno sin signos de desgarro. Secuelas de osteocondritis de la tuberosidad tibial. OA femorotibial medial y lateral. OA patelofemoral. Derrame con sinovitis. Quiste subcondral en la meseta tibial lateral. Impresión: Cambios de señal en el menisco interno sin signos de desgarro. OA patelofemoral. Derrame con sinovitis.</t>
  </si>
  <si>
    <t>No significant knee effusion. Normal medial and lateral menisci. No evidence of tears.  Normal ACL, PCL, MCL and LCL. Normal extensor mechanism.  The tibiofemoral and patellofemoral articular cartilage is normal. Normal visualized bones and surrounding soft tissues.  Conclusion: No evidence of meniscal tears or ligamentous injury.</t>
  </si>
  <si>
    <t>Stigmata der Inaktivitätsosteopenie sowie verbliebenes bone bruise im posterolateralen Tibiaplateau nahe der Eminentia bei subchondraler Impression mit teils punktuell chondralen Läsionen. Anamnestisch bek. VKB Ruptur mit wohl ligamentärer Ruptur des anteromedialen Bündels sowie knöchernem Ausriss des posterolateralen Bündels (4/23). Weiteres Ossikel/Flake angrenzend an die nicht sicher abgrenzbare Außenmeniskushinterhornwurzel, hier DD ebenfalls Mitbeteiligung/knöcherner Ausriss. Innenmeniskus mit horizontalem Riss Pars intermedia bis ins Hinterhorn ziehend bei mukoider Vorschädigung. Zusätzlich noch Knochenödem im medialen femorotibialen Gelenkkompartiment randständig, tibial führend, bei vorrangig Chondropathie. Begleitend geringer Gelenkerguss, Reizsynovialitis sowie gering Flüssigkeit gefüllte Baker-Zyste mit CC 3,2 cm. Kl. Plica mediopatellaris.</t>
  </si>
  <si>
    <t>Plane</t>
  </si>
  <si>
    <t>Study_code</t>
  </si>
  <si>
    <t>So_mat_phang</t>
  </si>
  <si>
    <t>Du_3_mat_phang</t>
  </si>
  <si>
    <t>Mat_phang_thieu</t>
  </si>
  <si>
    <t>1.2.826.0.1.3680043.8.498.10095687747295410396...</t>
  </si>
  <si>
    <t>S001</t>
  </si>
  <si>
    <t>Không thiếu</t>
  </si>
  <si>
    <t>1.2.826.0.1.3680043.8.498.10170898615867673028...</t>
  </si>
  <si>
    <t>S002</t>
  </si>
  <si>
    <t>1.2.826.0.1.3680043.8.498.10306159113324811538...</t>
  </si>
  <si>
    <t>S003</t>
  </si>
  <si>
    <t>1.2.826.0.1.3680043.8.498.11287937729196958426...</t>
  </si>
  <si>
    <t>S004</t>
  </si>
  <si>
    <t>1.2.826.0.1.3680043.8.498.11382021393803389951...</t>
  </si>
  <si>
    <t>S005</t>
  </si>
  <si>
    <t>1.2.826.0.1.3680043.8.498.11548045715264151632...</t>
  </si>
  <si>
    <t>S006</t>
  </si>
  <si>
    <t>1.2.826.0.1.3680043.8.498.11557620559191469069...</t>
  </si>
  <si>
    <t>S007</t>
  </si>
  <si>
    <t>1.2.826.0.1.3680043.8.498.11771393824519892797...</t>
  </si>
  <si>
    <t>S008</t>
  </si>
  <si>
    <t>1.2.826.0.1.3680043.8.498.11851412923016044948...</t>
  </si>
  <si>
    <t>S009</t>
  </si>
  <si>
    <t>1.2.826.0.1.3680043.8.498.11915937982684988073...</t>
  </si>
  <si>
    <t>S010</t>
  </si>
  <si>
    <t>1.2.826.0.1.3680043.8.498.12448079646359892252...</t>
  </si>
  <si>
    <t>S011</t>
  </si>
  <si>
    <t>1.2.826.0.1.3680043.8.498.12505035424093604269...</t>
  </si>
  <si>
    <t>S012</t>
  </si>
  <si>
    <t>1.2.826.0.1.3680043.8.498.12606657226568558340...</t>
  </si>
  <si>
    <t>S013</t>
  </si>
  <si>
    <t>1.2.826.0.1.3680043.8.498.12801308844398614687...</t>
  </si>
  <si>
    <t>S014</t>
  </si>
  <si>
    <t>1.2.826.0.1.3680043.8.498.12978510157202852202...</t>
  </si>
  <si>
    <t>S015</t>
  </si>
  <si>
    <t>1.2.826.0.1.3680043.8.498.13267780356245120052...</t>
  </si>
  <si>
    <t>S016</t>
  </si>
  <si>
    <t>1.2.826.0.1.3680043.8.498.13335129881737731410...</t>
  </si>
  <si>
    <t>S017</t>
  </si>
  <si>
    <t>1.2.826.0.1.3680043.8.498.15593638897292057356...</t>
  </si>
  <si>
    <t>S018</t>
  </si>
  <si>
    <t>1.2.826.0.1.3680043.8.498.16060119389060497136...</t>
  </si>
  <si>
    <t>S019</t>
  </si>
  <si>
    <t>1.2.826.0.1.3680043.8.498.17844546765907321649...</t>
  </si>
  <si>
    <t>S020</t>
  </si>
  <si>
    <t>1.2.826.0.1.3680043.8.498.18392509497170616983...</t>
  </si>
  <si>
    <t>S021</t>
  </si>
  <si>
    <t>1.2.826.0.1.3680043.8.498.22109739962224309418...</t>
  </si>
  <si>
    <t>S022</t>
  </si>
  <si>
    <t>1.2.826.0.1.3680043.8.498.25695966186129395049...</t>
  </si>
  <si>
    <t>S023</t>
  </si>
  <si>
    <t>1.2.826.0.1.3680043.8.498.26790702379506190936...</t>
  </si>
  <si>
    <t>S024</t>
  </si>
  <si>
    <t>1.2.826.0.1.3680043.8.498.27437263843446879932...</t>
  </si>
  <si>
    <t>S025</t>
  </si>
  <si>
    <t>1.2.826.0.1.3680043.8.498.28925345859498351203...</t>
  </si>
  <si>
    <t>S026</t>
  </si>
  <si>
    <t>1.2.826.0.1.3680043.8.498.29764868091238287072...</t>
  </si>
  <si>
    <t>S027</t>
  </si>
  <si>
    <t>1.2.826.0.1.3680043.8.498.30246079718471552972...</t>
  </si>
  <si>
    <t>S028</t>
  </si>
  <si>
    <t>1.2.826.0.1.3680043.8.498.32321830776739689645...</t>
  </si>
  <si>
    <t>S029</t>
  </si>
  <si>
    <t>1.2.826.0.1.3680043.8.498.37040910196459054543...</t>
  </si>
  <si>
    <t>S030</t>
  </si>
  <si>
    <t>1.2.826.0.1.3680043.8.498.37392127307867238524...</t>
  </si>
  <si>
    <t>S031</t>
  </si>
  <si>
    <t>1.2.826.0.1.3680043.8.498.39500553372517290823...</t>
  </si>
  <si>
    <t>S032</t>
  </si>
  <si>
    <t>1.2.826.0.1.3680043.8.498.41600498783384864111...</t>
  </si>
  <si>
    <t>S033</t>
  </si>
  <si>
    <t>1.2.826.0.1.3680043.8.498.47921753480592595198...</t>
  </si>
  <si>
    <t>S034</t>
  </si>
  <si>
    <t>1.2.826.0.1.3680043.8.498.48348615349418615469...</t>
  </si>
  <si>
    <t>S035</t>
  </si>
  <si>
    <t>1.2.826.0.1.3680043.8.498.48946580946665031852...</t>
  </si>
  <si>
    <t>S036</t>
  </si>
  <si>
    <t>1.2.826.0.1.3680043.8.498.54977581323931277817...</t>
  </si>
  <si>
    <t>S037</t>
  </si>
  <si>
    <t>1.2.826.0.1.3680043.8.498.56512564464301544960...</t>
  </si>
  <si>
    <t>S038</t>
  </si>
  <si>
    <t>1.2.826.0.1.3680043.8.498.59483999067816153759...</t>
  </si>
  <si>
    <t>S039</t>
  </si>
  <si>
    <t>1.2.826.0.1.3680043.8.498.62465595376489211274...</t>
  </si>
  <si>
    <t>S040</t>
  </si>
  <si>
    <t>1.2.826.0.1.3680043.8.498.62549354677638403845...</t>
  </si>
  <si>
    <t>S041</t>
  </si>
  <si>
    <t>1.2.826.0.1.3680043.8.498.64408609256163127278...</t>
  </si>
  <si>
    <t>S042</t>
  </si>
  <si>
    <t>1.2.826.0.1.3680043.8.498.64703506772167798469...</t>
  </si>
  <si>
    <t>S043</t>
  </si>
  <si>
    <t>1.2.826.0.1.3680043.8.498.65708905118633339771...</t>
  </si>
  <si>
    <t>S044</t>
  </si>
  <si>
    <t>1.2.826.0.1.3680043.8.498.67188121544063723837...</t>
  </si>
  <si>
    <t>S045</t>
  </si>
  <si>
    <t>1.2.826.0.1.3680043.8.498.69392348385274125385...</t>
  </si>
  <si>
    <t>S046</t>
  </si>
  <si>
    <t>1.2.826.0.1.3680043.8.498.72853333220043794904...</t>
  </si>
  <si>
    <t>S047</t>
  </si>
  <si>
    <t>1.2.826.0.1.3680043.8.498.73527530686853911124...</t>
  </si>
  <si>
    <t>S048</t>
  </si>
  <si>
    <t>1.2.826.0.1.3680043.8.498.73926443729786165628...</t>
  </si>
  <si>
    <t>S049</t>
  </si>
  <si>
    <t>1.2.826.0.1.3680043.8.498.75187434248356774277...</t>
  </si>
  <si>
    <t>S050</t>
  </si>
  <si>
    <t>1.2.826.0.1.3680043.8.498.77362718298550276679...</t>
  </si>
  <si>
    <t>S051</t>
  </si>
  <si>
    <t>1.2.826.0.1.3680043.8.498.78512215519177850923...</t>
  </si>
  <si>
    <t>S052</t>
  </si>
  <si>
    <t>1.2.826.0.1.3680043.8.498.82166943552764439138...</t>
  </si>
  <si>
    <t>S053</t>
  </si>
  <si>
    <t>1.2.826.0.1.3680043.8.498.86968600239724310678...</t>
  </si>
  <si>
    <t>S054</t>
  </si>
  <si>
    <t>1.2.826.0.1.3680043.8.498.88077418639301174409...</t>
  </si>
  <si>
    <t>S055</t>
  </si>
  <si>
    <t>1.2.826.0.1.3680043.8.498.90283565381042081768...</t>
  </si>
  <si>
    <t>S056</t>
  </si>
  <si>
    <t>1.2.826.0.1.3680043.8.498.94433753471890306108...</t>
  </si>
  <si>
    <t>S057</t>
  </si>
  <si>
    <t>1.2.826.0.1.3680043.8.498.97274720257634584071...</t>
  </si>
  <si>
    <t>S058</t>
  </si>
  <si>
    <t>Abnormalities</t>
  </si>
  <si>
    <t>Total</t>
  </si>
  <si>
    <t>PF OA, Effusion</t>
  </si>
  <si>
    <t>Lateral Meniscus, PF OA, Synovitis</t>
  </si>
  <si>
    <t>Medial Meniscus, Medial OA, PF OA, Synovitis</t>
  </si>
  <si>
    <t>ACL, Medial Meniscus</t>
  </si>
  <si>
    <t>Effusion, Synovitis, Contusion</t>
  </si>
  <si>
    <t>ACL, Lateral Meniscus, Lateral OA, Effusion</t>
  </si>
  <si>
    <t>MCL, Contusion</t>
  </si>
  <si>
    <t>Medial Meniscus, Lateral Meniscus, Medial OA, PF OA, Effusion, Fracture</t>
  </si>
  <si>
    <t>Lateral Meniscus, Lateral OA, PF OA, Effusion, Synovitis, Baker's</t>
  </si>
  <si>
    <t>PF OA, Synovitis</t>
  </si>
  <si>
    <t>ACL, MCL, Lateral Meniscus, Effusion, Fracture</t>
  </si>
  <si>
    <t>ACL, MCL, Lateral Meniscus</t>
  </si>
  <si>
    <t>Medial Meniscus, Lateral Meniscus, Medial OA, Effusion, Synovitis, Baker's, Contusion</t>
  </si>
  <si>
    <t>Lateral Meniscus, Fracture</t>
  </si>
  <si>
    <t>ACL, Medial Meniscus, Lateral Meniscus, Medial OA, Lateral OA, PF OA, Effusion, Synovitis, Baker's</t>
  </si>
  <si>
    <t>Lateral Meniscus, Medial OA, Lateral OA, PF OA, Synovitis</t>
  </si>
  <si>
    <t>Medial Meniscus, Lateral Meniscus, Medial OA, Lateral OA, PF OA, Effusion, Synovitis, Baker's, Fracture</t>
  </si>
  <si>
    <t>ACL, Effusion, Fracture</t>
  </si>
  <si>
    <t>ACL, Medial Meniscus, Effusion, Synovitis, Contusion, Fracture</t>
  </si>
  <si>
    <t>Lateral Meniscus, Medial OA, Lateral OA, Baker's</t>
  </si>
  <si>
    <t>Medial Meniscus, Lateral Meniscus, Medial OA, Effusion, Synovitis</t>
  </si>
  <si>
    <t>ACL, Contusion</t>
  </si>
  <si>
    <t>Medial Meniscus, Lateral Meniscus, Medial OA, PF OA, Baker's</t>
  </si>
  <si>
    <t>ACL, Contusion, Fracture</t>
  </si>
  <si>
    <t>ACL, Medial Meniscus, Lateral Meniscus, Effusion, Synovitis, Contusion, Fracture</t>
  </si>
  <si>
    <t>ACL, MCL, PF OA, Effusion, Synovitis, Contusion, Fracture</t>
  </si>
  <si>
    <t>Contusion, Fracture</t>
  </si>
  <si>
    <t>Lateral Meniscus, Lateral OA, PF OA, Effusion, Synovitis</t>
  </si>
  <si>
    <t>ACL, Medial Meniscus, Contusion</t>
  </si>
  <si>
    <t>Medial Meniscus, Effusion, Synovitis, Fracture</t>
  </si>
  <si>
    <t>ACL, Effusion, Contusion</t>
  </si>
  <si>
    <t>Medial OA, PF OA, Effusion, Synovitis</t>
  </si>
  <si>
    <t>ACL, Effusion, Synovitis, Contusion, Fracture</t>
  </si>
  <si>
    <t>ACL, MCL, Medial Meniscus, Lateral OA, Effusion, Synovitis, Fracture</t>
  </si>
  <si>
    <t>ACL, MCL, Lateral Meniscus, Effusion, Synovitis, Contusion</t>
  </si>
  <si>
    <t>Medial Meniscus, Medial OA, Effusion, Synovitis, Baker's</t>
  </si>
  <si>
    <t>MCL, Medial Meniscus, Lateral Meniscus, Effusion, Contusion, Fracture</t>
  </si>
  <si>
    <t>Medial Meniscus, Lateral Meniscus, Medial OA, Lateral OA, PF OA, Effusion, Synovitis, Baker's</t>
  </si>
  <si>
    <t>ACL, Medial Meniscus, Effusion</t>
  </si>
  <si>
    <t>ACL, PF OA, Effusion, Contusion, Fracture</t>
  </si>
  <si>
    <t>Medial Meniscus, PF OA, Effusion, Synovitis</t>
  </si>
  <si>
    <t>ACL, Medial Meniscus, PF OA, Effusion, Baker's, Contusion</t>
  </si>
  <si>
    <t>Lateral OA, Effusion, Synovitis, Contusion</t>
  </si>
  <si>
    <t>Medial Meniscus, Medial OA, PF OA</t>
  </si>
  <si>
    <t>ACL, Medial Meniscus, Lateral Meniscus, Medial OA, Effusion</t>
  </si>
  <si>
    <t>PF OA, Effusion, Synovitis</t>
  </si>
  <si>
    <t>ACL, Medial Meniscus, Synovitis, Baker's, Contusion, Fracture</t>
  </si>
  <si>
    <t>So_series</t>
  </si>
  <si>
    <t>Fluid+Fat</t>
  </si>
  <si>
    <t>không Fluid+không Fat</t>
  </si>
  <si>
    <t>Fat only</t>
  </si>
  <si>
    <t>Fluid only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</si>
</sst>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0.5"/>
      <color rgb="FF202020"/>
      <name val="Segoe UI"/>
      <charset val="134"/>
    </font>
    <font>
      <sz val="10.5"/>
      <color rgb="FF202020"/>
      <name val="Segoe UI"/>
      <charset val="134"/>
    </font>
    <font>
      <sz val="11"/>
      <color rgb="FF243247"/>
      <name val="Arial"/>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0F4F8"/>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1">
    <xf numFmtId="0" fontId="0" fillId="0" borderId="0" xfId="0">
      <alignment vertical="center"/>
    </xf>
    <xf numFmtId="0" fontId="0" fillId="0" borderId="1" xfId="0" applyBorder="1">
      <alignment vertical="center"/>
    </xf>
    <xf numFmtId="0" fontId="1" fillId="0" borderId="1" xfId="0" applyFont="1" applyBorder="1" applyAlignment="1">
      <alignment horizontal="right" vertical="center" wrapText="1"/>
    </xf>
    <xf numFmtId="0" fontId="2" fillId="0" borderId="1" xfId="0" applyFont="1" applyBorder="1" applyAlignment="1">
      <alignment horizontal="right" vertical="center" wrapText="1"/>
    </xf>
    <xf numFmtId="0" fontId="0" fillId="0" borderId="0" xfId="0" applyFill="1" applyAlignment="1">
      <alignment vertical="center"/>
    </xf>
    <xf numFmtId="0" fontId="0" fillId="0" borderId="1" xfId="0" applyFill="1" applyBorder="1" applyAlignment="1">
      <alignment vertical="center"/>
    </xf>
    <xf numFmtId="0" fontId="0" fillId="0" borderId="1" xfId="0" applyFill="1" applyBorder="1" applyAlignment="1">
      <alignment vertical="center" wrapText="1"/>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0" fillId="0" borderId="1" xfId="0" applyBorder="1">
      <alignment vertical="center"/>
    </xf>
    <xf numFmtId="0" fontId="0" fillId="0" borderId="1" xfId="0" applyNumberForma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onnections" Target="connection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_1" connectionId="4"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ExternalData_1" connectionId="2" autoFormatId="16" applyNumberFormats="0" applyBorderFormats="0" applyFontFormats="1" applyPatternFormats="1" applyAlignmentFormats="0" applyWidthHeightFormats="0"/>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337"/>
  <sheetViews>
    <sheetView workbookViewId="0">
      <selection activeCell="D338" sqref="D338"/>
    </sheetView>
  </sheetViews>
  <sheetFormatPr defaultColWidth="8.88888888888889" defaultRowHeight="14.4"/>
  <cols>
    <col min="2" max="2" width="15.4444444444444" customWidth="1"/>
    <col min="3" max="3" width="15.6666666666667" customWidth="1"/>
    <col min="4" max="4" width="12.8888888888889" customWidth="1"/>
    <col min="5" max="5" width="13.5555555555556" customWidth="1"/>
    <col min="6" max="6" width="15.3333333333333" customWidth="1"/>
    <col min="7" max="7" width="36.4444444444444" customWidth="1"/>
    <col min="8" max="8" width="12.7777777777778" customWidth="1"/>
    <col min="9" max="9" width="14.8888888888889" customWidth="1"/>
    <col min="10" max="10" width="17.4444444444444" customWidth="1"/>
    <col min="11" max="11" width="16" customWidth="1"/>
    <col min="12" max="12" width="71.037037037037" customWidth="1"/>
    <col min="13" max="13" width="18.1111111111111" customWidth="1"/>
    <col min="14" max="14" width="61" customWidth="1"/>
    <col min="15" max="15" width="13.4444444444444" customWidth="1"/>
    <col min="16" max="16" width="8.88888888888889" customWidth="1"/>
    <col min="17" max="17" width="12.8888888888889" customWidth="1"/>
    <col min="18" max="18" width="7.66666666666667" customWidth="1"/>
    <col min="19" max="19" width="6.55555555555556" customWidth="1"/>
    <col min="20" max="20" width="13.1111111111111" customWidth="1"/>
    <col min="21" max="21" width="15.8888888888889" customWidth="1"/>
    <col min="22" max="22" width="13.4444444444444" customWidth="1"/>
    <col min="23" max="23" width="18.5555555555556" customWidth="1"/>
    <col min="24" max="24" width="27.5555555555556" customWidth="1"/>
    <col min="25" max="25" width="22.4444444444444" customWidth="1"/>
    <col min="26" max="26" width="23.2222222222222" customWidth="1"/>
    <col min="27" max="27" width="6.11111111111111" customWidth="1"/>
    <col min="28" max="28" width="8.66666666666667" customWidth="1"/>
    <col min="29" max="29" width="37.6666666666667" customWidth="1"/>
    <col min="30" max="30" width="18.1111111111111" customWidth="1"/>
    <col min="31" max="31" width="25.2222222222222" customWidth="1"/>
    <col min="32" max="32" width="16.6666666666667" customWidth="1"/>
    <col min="33" max="33" width="27.6666666666667" customWidth="1"/>
    <col min="34" max="34" width="29.4444444444444" customWidth="1"/>
    <col min="35" max="35" width="18.1111111111111" customWidth="1"/>
    <col min="36" max="36" width="24" customWidth="1"/>
    <col min="37" max="37" width="71.037037037037" customWidth="1"/>
    <col min="38" max="38" width="29.5555555555556" customWidth="1"/>
    <col min="39" max="39" width="30.6666666666667" customWidth="1"/>
    <col min="40" max="40" width="22" customWidth="1"/>
    <col min="41" max="41" width="24.6666666666667" customWidth="1"/>
    <col min="42" max="42" width="47.4444444444444" customWidth="1"/>
    <col min="43" max="43" width="19.7777777777778" customWidth="1"/>
    <col min="44" max="44" width="17.6666666666667" customWidth="1"/>
    <col min="45" max="45" width="17.8888888888889" customWidth="1"/>
    <col min="46" max="46" width="14.5555555555556" customWidth="1"/>
    <col min="47" max="47" width="9.33333333333333" customWidth="1"/>
    <col min="48" max="48" width="18.5555555555556" customWidth="1"/>
  </cols>
  <sheetData>
    <row r="1" spans="1:48">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row>
    <row r="2" spans="1:48">
      <c r="A2" s="9">
        <f>ROW()-1</f>
        <v>1</v>
      </c>
      <c r="B2" s="9" t="s">
        <v>48</v>
      </c>
      <c r="C2" s="9" t="s">
        <v>49</v>
      </c>
      <c r="D2" s="9">
        <v>0</v>
      </c>
      <c r="E2" s="9">
        <v>0</v>
      </c>
      <c r="F2" s="9" t="s">
        <v>50</v>
      </c>
      <c r="G2" s="9" t="s">
        <v>51</v>
      </c>
      <c r="H2" s="9"/>
      <c r="I2" s="9" t="s">
        <v>52</v>
      </c>
      <c r="J2" s="9" t="s">
        <v>53</v>
      </c>
      <c r="K2" s="9" t="s">
        <v>54</v>
      </c>
      <c r="L2" s="9" t="s">
        <v>55</v>
      </c>
      <c r="M2" s="9" t="s">
        <v>56</v>
      </c>
      <c r="N2" s="9" t="s">
        <v>57</v>
      </c>
      <c r="O2" s="9">
        <v>7001</v>
      </c>
      <c r="P2" s="9" t="s">
        <v>58</v>
      </c>
      <c r="Q2" s="9">
        <v>6570</v>
      </c>
      <c r="R2" s="9">
        <v>75</v>
      </c>
      <c r="S2" s="9"/>
      <c r="T2" s="9">
        <v>150</v>
      </c>
      <c r="U2" s="9">
        <v>13</v>
      </c>
      <c r="V2" s="9"/>
      <c r="W2" s="9">
        <v>1</v>
      </c>
      <c r="X2" s="9">
        <v>160</v>
      </c>
      <c r="Y2" s="9">
        <v>63.676041</v>
      </c>
      <c r="Z2" s="9">
        <v>1.5</v>
      </c>
      <c r="AA2" s="9">
        <v>400</v>
      </c>
      <c r="AB2" s="9">
        <v>400</v>
      </c>
      <c r="AC2" s="9" t="s">
        <v>59</v>
      </c>
      <c r="AD2" s="9">
        <v>2.5</v>
      </c>
      <c r="AE2" s="9">
        <v>2.875</v>
      </c>
      <c r="AF2" s="9" t="s">
        <v>60</v>
      </c>
      <c r="AG2" s="9"/>
      <c r="AH2" s="9" t="s">
        <v>61</v>
      </c>
      <c r="AI2" s="9">
        <v>70</v>
      </c>
      <c r="AJ2" s="9">
        <v>100</v>
      </c>
      <c r="AK2" s="9" t="s">
        <v>62</v>
      </c>
      <c r="AL2" s="9">
        <v>14</v>
      </c>
      <c r="AM2" s="9"/>
      <c r="AN2" s="9" t="s">
        <v>63</v>
      </c>
      <c r="AO2" s="9" t="s">
        <v>64</v>
      </c>
      <c r="AP2" s="9" t="s">
        <v>65</v>
      </c>
      <c r="AQ2" s="9" t="s">
        <v>66</v>
      </c>
      <c r="AR2" s="9" t="s">
        <v>67</v>
      </c>
      <c r="AS2" s="9" t="s">
        <v>68</v>
      </c>
      <c r="AT2" s="9" t="s">
        <v>69</v>
      </c>
      <c r="AU2" s="9" t="s">
        <v>70</v>
      </c>
      <c r="AV2" s="9">
        <v>36</v>
      </c>
    </row>
    <row r="3" spans="1:48">
      <c r="A3" s="9">
        <f t="shared" ref="A3:A66" si="0">ROW()-1</f>
        <v>2</v>
      </c>
      <c r="B3" s="9" t="s">
        <v>48</v>
      </c>
      <c r="C3" s="9" t="s">
        <v>71</v>
      </c>
      <c r="D3" s="9">
        <v>0</v>
      </c>
      <c r="E3" s="9">
        <v>0</v>
      </c>
      <c r="F3" s="9" t="s">
        <v>72</v>
      </c>
      <c r="G3" s="9" t="s">
        <v>73</v>
      </c>
      <c r="H3" s="9"/>
      <c r="I3" s="9" t="s">
        <v>74</v>
      </c>
      <c r="J3" s="9" t="s">
        <v>53</v>
      </c>
      <c r="K3" s="9" t="s">
        <v>54</v>
      </c>
      <c r="L3" s="9" t="s">
        <v>55</v>
      </c>
      <c r="M3" s="9" t="s">
        <v>56</v>
      </c>
      <c r="N3" s="9" t="s">
        <v>57</v>
      </c>
      <c r="O3" s="9">
        <v>5001</v>
      </c>
      <c r="P3" s="9" t="s">
        <v>58</v>
      </c>
      <c r="Q3" s="9">
        <v>700</v>
      </c>
      <c r="R3" s="9">
        <v>12</v>
      </c>
      <c r="S3" s="9"/>
      <c r="T3" s="9">
        <v>160</v>
      </c>
      <c r="U3" s="9">
        <v>3</v>
      </c>
      <c r="V3" s="9"/>
      <c r="W3" s="9">
        <v>1</v>
      </c>
      <c r="X3" s="9">
        <v>181</v>
      </c>
      <c r="Y3" s="9">
        <v>63.676041</v>
      </c>
      <c r="Z3" s="9">
        <v>1.5</v>
      </c>
      <c r="AA3" s="9">
        <v>384</v>
      </c>
      <c r="AB3" s="9">
        <v>384</v>
      </c>
      <c r="AC3" s="9" t="s">
        <v>75</v>
      </c>
      <c r="AD3" s="9">
        <v>3</v>
      </c>
      <c r="AE3" s="9">
        <v>3.45</v>
      </c>
      <c r="AF3" s="9" t="s">
        <v>76</v>
      </c>
      <c r="AG3" s="9"/>
      <c r="AH3" s="9" t="s">
        <v>77</v>
      </c>
      <c r="AI3" s="9">
        <v>80</v>
      </c>
      <c r="AJ3" s="9">
        <v>100</v>
      </c>
      <c r="AK3" s="9" t="s">
        <v>78</v>
      </c>
      <c r="AL3" s="9">
        <v>11</v>
      </c>
      <c r="AM3" s="9"/>
      <c r="AN3" s="9" t="s">
        <v>63</v>
      </c>
      <c r="AO3" s="9" t="s">
        <v>64</v>
      </c>
      <c r="AP3" s="9" t="s">
        <v>65</v>
      </c>
      <c r="AQ3" s="9" t="s">
        <v>66</v>
      </c>
      <c r="AR3" s="9" t="s">
        <v>67</v>
      </c>
      <c r="AS3" s="9" t="s">
        <v>68</v>
      </c>
      <c r="AT3" s="9" t="s">
        <v>69</v>
      </c>
      <c r="AU3" s="9" t="s">
        <v>70</v>
      </c>
      <c r="AV3" s="9">
        <v>30</v>
      </c>
    </row>
    <row r="4" spans="1:48">
      <c r="A4" s="9">
        <f t="shared" si="0"/>
        <v>3</v>
      </c>
      <c r="B4" s="9" t="s">
        <v>48</v>
      </c>
      <c r="C4" s="9" t="s">
        <v>79</v>
      </c>
      <c r="D4" s="9">
        <v>1</v>
      </c>
      <c r="E4" s="9">
        <v>1</v>
      </c>
      <c r="F4" s="9" t="s">
        <v>72</v>
      </c>
      <c r="G4" s="9" t="s">
        <v>80</v>
      </c>
      <c r="H4" s="9"/>
      <c r="I4" s="9" t="s">
        <v>81</v>
      </c>
      <c r="J4" s="9" t="s">
        <v>53</v>
      </c>
      <c r="K4" s="9" t="s">
        <v>54</v>
      </c>
      <c r="L4" s="9" t="s">
        <v>82</v>
      </c>
      <c r="M4" s="9" t="s">
        <v>56</v>
      </c>
      <c r="N4" s="9" t="s">
        <v>57</v>
      </c>
      <c r="O4" s="9">
        <v>4001</v>
      </c>
      <c r="P4" s="9" t="s">
        <v>58</v>
      </c>
      <c r="Q4" s="9">
        <v>3980</v>
      </c>
      <c r="R4" s="9">
        <v>40</v>
      </c>
      <c r="S4" s="9"/>
      <c r="T4" s="9">
        <v>150</v>
      </c>
      <c r="U4" s="9">
        <v>7</v>
      </c>
      <c r="V4" s="9"/>
      <c r="W4" s="9">
        <v>1</v>
      </c>
      <c r="X4" s="9">
        <v>130</v>
      </c>
      <c r="Y4" s="9">
        <v>63.676044</v>
      </c>
      <c r="Z4" s="9">
        <v>1.5</v>
      </c>
      <c r="AA4" s="9">
        <v>320</v>
      </c>
      <c r="AB4" s="9">
        <v>320</v>
      </c>
      <c r="AC4" s="9" t="s">
        <v>83</v>
      </c>
      <c r="AD4" s="9">
        <v>3</v>
      </c>
      <c r="AE4" s="9">
        <v>3.45</v>
      </c>
      <c r="AF4" s="9" t="s">
        <v>84</v>
      </c>
      <c r="AG4" s="9"/>
      <c r="AH4" s="9" t="s">
        <v>77</v>
      </c>
      <c r="AI4" s="9">
        <v>70</v>
      </c>
      <c r="AJ4" s="9">
        <v>100</v>
      </c>
      <c r="AK4" s="9" t="s">
        <v>85</v>
      </c>
      <c r="AL4" s="9">
        <v>5</v>
      </c>
      <c r="AM4" s="9"/>
      <c r="AN4" s="9" t="s">
        <v>63</v>
      </c>
      <c r="AO4" s="9" t="s">
        <v>64</v>
      </c>
      <c r="AP4" s="9" t="s">
        <v>65</v>
      </c>
      <c r="AQ4" s="9" t="s">
        <v>66</v>
      </c>
      <c r="AR4" s="9" t="s">
        <v>67</v>
      </c>
      <c r="AS4" s="9" t="s">
        <v>68</v>
      </c>
      <c r="AT4" s="9" t="s">
        <v>69</v>
      </c>
      <c r="AU4" s="9" t="s">
        <v>70</v>
      </c>
      <c r="AV4" s="9">
        <v>30</v>
      </c>
    </row>
    <row r="5" spans="1:48">
      <c r="A5" s="9">
        <f t="shared" si="0"/>
        <v>4</v>
      </c>
      <c r="B5" s="9" t="s">
        <v>48</v>
      </c>
      <c r="C5" s="9" t="s">
        <v>86</v>
      </c>
      <c r="D5" s="9">
        <v>1</v>
      </c>
      <c r="E5" s="9">
        <v>1</v>
      </c>
      <c r="F5" s="9" t="s">
        <v>50</v>
      </c>
      <c r="G5" s="9" t="s">
        <v>87</v>
      </c>
      <c r="H5" s="9"/>
      <c r="I5" s="9" t="s">
        <v>81</v>
      </c>
      <c r="J5" s="9" t="s">
        <v>53</v>
      </c>
      <c r="K5" s="9" t="s">
        <v>54</v>
      </c>
      <c r="L5" s="9" t="s">
        <v>82</v>
      </c>
      <c r="M5" s="9" t="s">
        <v>56</v>
      </c>
      <c r="N5" s="9" t="s">
        <v>57</v>
      </c>
      <c r="O5" s="9">
        <v>6001</v>
      </c>
      <c r="P5" s="9" t="s">
        <v>58</v>
      </c>
      <c r="Q5" s="9">
        <v>4790</v>
      </c>
      <c r="R5" s="9">
        <v>40</v>
      </c>
      <c r="S5" s="9"/>
      <c r="T5" s="9">
        <v>150</v>
      </c>
      <c r="U5" s="9">
        <v>7</v>
      </c>
      <c r="V5" s="9"/>
      <c r="W5" s="9">
        <v>1</v>
      </c>
      <c r="X5" s="9">
        <v>130</v>
      </c>
      <c r="Y5" s="9">
        <v>63.676049</v>
      </c>
      <c r="Z5" s="9">
        <v>1.5</v>
      </c>
      <c r="AA5" s="9">
        <v>320</v>
      </c>
      <c r="AB5" s="9">
        <v>320</v>
      </c>
      <c r="AC5" s="9" t="s">
        <v>83</v>
      </c>
      <c r="AD5" s="9">
        <v>2.5</v>
      </c>
      <c r="AE5" s="9">
        <v>2.875</v>
      </c>
      <c r="AF5" s="9" t="s">
        <v>88</v>
      </c>
      <c r="AG5" s="9"/>
      <c r="AH5" s="9" t="s">
        <v>61</v>
      </c>
      <c r="AI5" s="9">
        <v>70</v>
      </c>
      <c r="AJ5" s="9">
        <v>100</v>
      </c>
      <c r="AK5" s="9" t="s">
        <v>89</v>
      </c>
      <c r="AL5" s="9">
        <v>19</v>
      </c>
      <c r="AM5" s="9"/>
      <c r="AN5" s="9" t="s">
        <v>63</v>
      </c>
      <c r="AO5" s="9" t="s">
        <v>64</v>
      </c>
      <c r="AP5" s="9" t="s">
        <v>65</v>
      </c>
      <c r="AQ5" s="9" t="s">
        <v>66</v>
      </c>
      <c r="AR5" s="9" t="s">
        <v>67</v>
      </c>
      <c r="AS5" s="9" t="s">
        <v>68</v>
      </c>
      <c r="AT5" s="9" t="s">
        <v>69</v>
      </c>
      <c r="AU5" s="9" t="s">
        <v>70</v>
      </c>
      <c r="AV5" s="9">
        <v>36</v>
      </c>
    </row>
    <row r="6" spans="1:48">
      <c r="A6" s="9">
        <f t="shared" si="0"/>
        <v>5</v>
      </c>
      <c r="B6" s="9" t="s">
        <v>48</v>
      </c>
      <c r="C6" s="9" t="s">
        <v>90</v>
      </c>
      <c r="D6" s="9">
        <v>1</v>
      </c>
      <c r="E6" s="9">
        <v>1</v>
      </c>
      <c r="F6" s="9" t="s">
        <v>91</v>
      </c>
      <c r="G6" s="9" t="s">
        <v>92</v>
      </c>
      <c r="H6" s="9"/>
      <c r="I6" s="9" t="s">
        <v>81</v>
      </c>
      <c r="J6" s="9" t="s">
        <v>53</v>
      </c>
      <c r="K6" s="9" t="s">
        <v>54</v>
      </c>
      <c r="L6" s="9" t="s">
        <v>82</v>
      </c>
      <c r="M6" s="9" t="s">
        <v>56</v>
      </c>
      <c r="N6" s="9" t="s">
        <v>57</v>
      </c>
      <c r="O6" s="9">
        <v>3001</v>
      </c>
      <c r="P6" s="9" t="s">
        <v>58</v>
      </c>
      <c r="Q6" s="9">
        <v>4240</v>
      </c>
      <c r="R6" s="9">
        <v>40</v>
      </c>
      <c r="S6" s="9"/>
      <c r="T6" s="9">
        <v>150</v>
      </c>
      <c r="U6" s="9">
        <v>7</v>
      </c>
      <c r="V6" s="9"/>
      <c r="W6" s="9">
        <v>1</v>
      </c>
      <c r="X6" s="9">
        <v>130</v>
      </c>
      <c r="Y6" s="9">
        <v>63.676042</v>
      </c>
      <c r="Z6" s="9">
        <v>1.5</v>
      </c>
      <c r="AA6" s="9">
        <v>320</v>
      </c>
      <c r="AB6" s="9">
        <v>320</v>
      </c>
      <c r="AC6" s="9" t="s">
        <v>83</v>
      </c>
      <c r="AD6" s="9">
        <v>3.5</v>
      </c>
      <c r="AE6" s="9">
        <v>4.025</v>
      </c>
      <c r="AF6" s="9" t="s">
        <v>84</v>
      </c>
      <c r="AG6" s="9"/>
      <c r="AH6" s="9" t="s">
        <v>77</v>
      </c>
      <c r="AI6" s="9">
        <v>70</v>
      </c>
      <c r="AJ6" s="9">
        <v>100</v>
      </c>
      <c r="AK6" s="9" t="s">
        <v>93</v>
      </c>
      <c r="AL6" s="9">
        <v>4</v>
      </c>
      <c r="AM6" s="9"/>
      <c r="AN6" s="9" t="s">
        <v>63</v>
      </c>
      <c r="AO6" s="9" t="s">
        <v>64</v>
      </c>
      <c r="AP6" s="9" t="s">
        <v>65</v>
      </c>
      <c r="AQ6" s="9" t="s">
        <v>66</v>
      </c>
      <c r="AR6" s="9" t="s">
        <v>67</v>
      </c>
      <c r="AS6" s="9" t="s">
        <v>68</v>
      </c>
      <c r="AT6" s="9" t="s">
        <v>69</v>
      </c>
      <c r="AU6" s="9" t="s">
        <v>70</v>
      </c>
      <c r="AV6" s="9">
        <v>32</v>
      </c>
    </row>
    <row r="7" spans="1:48">
      <c r="A7" s="9">
        <f t="shared" si="0"/>
        <v>6</v>
      </c>
      <c r="B7" s="9" t="s">
        <v>94</v>
      </c>
      <c r="C7" s="9" t="s">
        <v>95</v>
      </c>
      <c r="D7" s="9">
        <v>0</v>
      </c>
      <c r="E7" s="9">
        <v>0</v>
      </c>
      <c r="F7" s="9" t="s">
        <v>72</v>
      </c>
      <c r="G7" s="9" t="s">
        <v>96</v>
      </c>
      <c r="H7" s="9"/>
      <c r="I7" s="9" t="s">
        <v>96</v>
      </c>
      <c r="J7" s="9" t="s">
        <v>53</v>
      </c>
      <c r="K7" s="9" t="s">
        <v>97</v>
      </c>
      <c r="L7" s="9" t="s">
        <v>98</v>
      </c>
      <c r="M7" s="9" t="s">
        <v>56</v>
      </c>
      <c r="N7" s="9" t="s">
        <v>99</v>
      </c>
      <c r="O7" s="9">
        <v>701</v>
      </c>
      <c r="P7" s="9" t="s">
        <v>58</v>
      </c>
      <c r="Q7" s="10">
        <v>2500.00048828125</v>
      </c>
      <c r="R7" s="9">
        <v>80</v>
      </c>
      <c r="S7" s="9"/>
      <c r="T7" s="9">
        <v>90</v>
      </c>
      <c r="U7" s="9">
        <v>16</v>
      </c>
      <c r="V7" s="9">
        <v>1</v>
      </c>
      <c r="W7" s="9">
        <v>2</v>
      </c>
      <c r="X7" s="9">
        <v>316</v>
      </c>
      <c r="Y7" s="9">
        <v>127.749664</v>
      </c>
      <c r="Z7" s="9">
        <v>3</v>
      </c>
      <c r="AA7" s="9">
        <v>640</v>
      </c>
      <c r="AB7" s="9">
        <v>640</v>
      </c>
      <c r="AC7" s="9" t="s">
        <v>100</v>
      </c>
      <c r="AD7" s="9">
        <v>3</v>
      </c>
      <c r="AE7" s="9">
        <v>3.3</v>
      </c>
      <c r="AF7" s="9" t="s">
        <v>101</v>
      </c>
      <c r="AG7" s="9"/>
      <c r="AH7" s="9" t="s">
        <v>77</v>
      </c>
      <c r="AI7" s="10">
        <v>86.5168533325195</v>
      </c>
      <c r="AJ7" s="9">
        <v>100</v>
      </c>
      <c r="AK7" s="9" t="s">
        <v>102</v>
      </c>
      <c r="AL7" s="9">
        <v>25</v>
      </c>
      <c r="AM7" s="9"/>
      <c r="AN7" s="9" t="s">
        <v>103</v>
      </c>
      <c r="AO7" s="9" t="s">
        <v>104</v>
      </c>
      <c r="AP7" s="9" t="s">
        <v>105</v>
      </c>
      <c r="AQ7" s="9" t="s">
        <v>106</v>
      </c>
      <c r="AR7" s="9"/>
      <c r="AS7" s="9" t="s">
        <v>68</v>
      </c>
      <c r="AT7" s="9" t="s">
        <v>69</v>
      </c>
      <c r="AU7" s="9" t="s">
        <v>70</v>
      </c>
      <c r="AV7" s="9">
        <v>30</v>
      </c>
    </row>
    <row r="8" spans="1:48">
      <c r="A8" s="9">
        <f t="shared" si="0"/>
        <v>7</v>
      </c>
      <c r="B8" s="9" t="s">
        <v>94</v>
      </c>
      <c r="C8" s="9" t="s">
        <v>107</v>
      </c>
      <c r="D8" s="9">
        <v>0</v>
      </c>
      <c r="E8" s="9">
        <v>0</v>
      </c>
      <c r="F8" s="9" t="s">
        <v>72</v>
      </c>
      <c r="G8" s="9" t="s">
        <v>108</v>
      </c>
      <c r="H8" s="9"/>
      <c r="I8" s="9"/>
      <c r="J8" s="9" t="s">
        <v>53</v>
      </c>
      <c r="K8" s="9" t="s">
        <v>97</v>
      </c>
      <c r="L8" s="9" t="s">
        <v>98</v>
      </c>
      <c r="M8" s="9" t="s">
        <v>56</v>
      </c>
      <c r="N8" s="9" t="s">
        <v>99</v>
      </c>
      <c r="O8" s="9">
        <v>901</v>
      </c>
      <c r="P8" s="9" t="s">
        <v>58</v>
      </c>
      <c r="Q8" s="10">
        <v>519.12451171875</v>
      </c>
      <c r="R8" s="9">
        <v>10</v>
      </c>
      <c r="S8" s="9"/>
      <c r="T8" s="9">
        <v>90</v>
      </c>
      <c r="U8" s="9">
        <v>3</v>
      </c>
      <c r="V8" s="9">
        <v>1</v>
      </c>
      <c r="W8" s="9">
        <v>2</v>
      </c>
      <c r="X8" s="9">
        <v>362</v>
      </c>
      <c r="Y8" s="9">
        <v>127.749664</v>
      </c>
      <c r="Z8" s="9">
        <v>3</v>
      </c>
      <c r="AA8" s="9">
        <v>704</v>
      </c>
      <c r="AB8" s="9">
        <v>704</v>
      </c>
      <c r="AC8" s="9" t="s">
        <v>109</v>
      </c>
      <c r="AD8" s="9">
        <v>3</v>
      </c>
      <c r="AE8" s="9">
        <v>3.3</v>
      </c>
      <c r="AF8" s="9" t="s">
        <v>110</v>
      </c>
      <c r="AG8" s="9"/>
      <c r="AH8" s="9" t="s">
        <v>77</v>
      </c>
      <c r="AI8" s="10">
        <v>88.2022476196289</v>
      </c>
      <c r="AJ8" s="9">
        <v>100</v>
      </c>
      <c r="AK8" s="9" t="s">
        <v>102</v>
      </c>
      <c r="AL8" s="9">
        <v>3</v>
      </c>
      <c r="AM8" s="9"/>
      <c r="AN8" s="9" t="s">
        <v>103</v>
      </c>
      <c r="AO8" s="9" t="s">
        <v>104</v>
      </c>
      <c r="AP8" s="9" t="s">
        <v>105</v>
      </c>
      <c r="AQ8" s="9" t="s">
        <v>106</v>
      </c>
      <c r="AR8" s="9"/>
      <c r="AS8" s="9" t="s">
        <v>68</v>
      </c>
      <c r="AT8" s="9" t="s">
        <v>69</v>
      </c>
      <c r="AU8" s="9" t="s">
        <v>70</v>
      </c>
      <c r="AV8" s="9">
        <v>30</v>
      </c>
    </row>
    <row r="9" spans="1:48">
      <c r="A9" s="9">
        <f t="shared" si="0"/>
        <v>8</v>
      </c>
      <c r="B9" s="9" t="s">
        <v>94</v>
      </c>
      <c r="C9" s="9" t="s">
        <v>111</v>
      </c>
      <c r="D9" s="9">
        <v>1</v>
      </c>
      <c r="E9" s="9">
        <v>1</v>
      </c>
      <c r="F9" s="9" t="s">
        <v>91</v>
      </c>
      <c r="G9" s="9" t="s">
        <v>112</v>
      </c>
      <c r="H9" s="9"/>
      <c r="I9" s="9"/>
      <c r="J9" s="9" t="s">
        <v>53</v>
      </c>
      <c r="K9" s="9" t="s">
        <v>97</v>
      </c>
      <c r="L9" s="9" t="s">
        <v>113</v>
      </c>
      <c r="M9" s="9" t="s">
        <v>56</v>
      </c>
      <c r="N9" s="9" t="s">
        <v>99</v>
      </c>
      <c r="O9" s="9">
        <v>1001</v>
      </c>
      <c r="P9" s="9" t="s">
        <v>58</v>
      </c>
      <c r="Q9" s="9">
        <v>2500</v>
      </c>
      <c r="R9" s="9">
        <v>75</v>
      </c>
      <c r="S9" s="9"/>
      <c r="T9" s="9">
        <v>90</v>
      </c>
      <c r="U9" s="9">
        <v>18</v>
      </c>
      <c r="V9" s="9">
        <v>1</v>
      </c>
      <c r="W9" s="9">
        <v>2</v>
      </c>
      <c r="X9" s="9">
        <v>218</v>
      </c>
      <c r="Y9" s="9">
        <v>127.749592</v>
      </c>
      <c r="Z9" s="9">
        <v>3</v>
      </c>
      <c r="AA9" s="9">
        <v>480</v>
      </c>
      <c r="AB9" s="9">
        <v>480</v>
      </c>
      <c r="AC9" s="9" t="s">
        <v>114</v>
      </c>
      <c r="AD9" s="9">
        <v>2.5</v>
      </c>
      <c r="AE9" s="9">
        <v>3</v>
      </c>
      <c r="AF9" s="9" t="s">
        <v>115</v>
      </c>
      <c r="AG9" s="9"/>
      <c r="AH9" s="9" t="s">
        <v>77</v>
      </c>
      <c r="AI9" s="10">
        <v>78.3333358764648</v>
      </c>
      <c r="AJ9" s="9">
        <v>100</v>
      </c>
      <c r="AK9" s="9" t="s">
        <v>116</v>
      </c>
      <c r="AL9" s="9">
        <v>8</v>
      </c>
      <c r="AM9" s="9"/>
      <c r="AN9" s="9" t="s">
        <v>103</v>
      </c>
      <c r="AO9" s="9" t="s">
        <v>104</v>
      </c>
      <c r="AP9" s="9" t="s">
        <v>105</v>
      </c>
      <c r="AQ9" s="9" t="s">
        <v>106</v>
      </c>
      <c r="AR9" s="9"/>
      <c r="AS9" s="9" t="s">
        <v>68</v>
      </c>
      <c r="AT9" s="9" t="s">
        <v>69</v>
      </c>
      <c r="AU9" s="9" t="s">
        <v>70</v>
      </c>
      <c r="AV9" s="9">
        <v>16</v>
      </c>
    </row>
    <row r="10" spans="1:48">
      <c r="A10" s="9">
        <f t="shared" si="0"/>
        <v>9</v>
      </c>
      <c r="B10" s="9" t="s">
        <v>94</v>
      </c>
      <c r="C10" s="9" t="s">
        <v>117</v>
      </c>
      <c r="D10" s="9">
        <v>0</v>
      </c>
      <c r="E10" s="9">
        <v>0</v>
      </c>
      <c r="F10" s="9" t="s">
        <v>50</v>
      </c>
      <c r="G10" s="9" t="s">
        <v>118</v>
      </c>
      <c r="H10" s="9"/>
      <c r="I10" s="9"/>
      <c r="J10" s="9" t="s">
        <v>53</v>
      </c>
      <c r="K10" s="9" t="s">
        <v>97</v>
      </c>
      <c r="L10" s="9" t="s">
        <v>98</v>
      </c>
      <c r="M10" s="9" t="s">
        <v>56</v>
      </c>
      <c r="N10" s="9" t="s">
        <v>99</v>
      </c>
      <c r="O10" s="9">
        <v>301</v>
      </c>
      <c r="P10" s="9" t="s">
        <v>58</v>
      </c>
      <c r="Q10" s="9">
        <v>3000</v>
      </c>
      <c r="R10" s="9">
        <v>80</v>
      </c>
      <c r="S10" s="9"/>
      <c r="T10" s="9">
        <v>90</v>
      </c>
      <c r="U10" s="9">
        <v>14</v>
      </c>
      <c r="V10" s="9">
        <v>1</v>
      </c>
      <c r="W10" s="9">
        <v>1</v>
      </c>
      <c r="X10" s="9">
        <v>311</v>
      </c>
      <c r="Y10" s="9">
        <v>127.749656</v>
      </c>
      <c r="Z10" s="9">
        <v>3</v>
      </c>
      <c r="AA10" s="9">
        <v>432</v>
      </c>
      <c r="AB10" s="9">
        <v>432</v>
      </c>
      <c r="AC10" s="9" t="s">
        <v>119</v>
      </c>
      <c r="AD10" s="9">
        <v>3</v>
      </c>
      <c r="AE10" s="9">
        <v>3.3</v>
      </c>
      <c r="AF10" s="9" t="s">
        <v>120</v>
      </c>
      <c r="AG10" s="9"/>
      <c r="AH10" s="9" t="s">
        <v>61</v>
      </c>
      <c r="AI10" s="10">
        <v>81.8014678955078</v>
      </c>
      <c r="AJ10" s="9">
        <v>100</v>
      </c>
      <c r="AK10" s="9" t="s">
        <v>121</v>
      </c>
      <c r="AL10" s="9">
        <v>27</v>
      </c>
      <c r="AM10" s="9"/>
      <c r="AN10" s="9" t="s">
        <v>103</v>
      </c>
      <c r="AO10" s="9" t="s">
        <v>104</v>
      </c>
      <c r="AP10" s="9" t="s">
        <v>105</v>
      </c>
      <c r="AQ10" s="9" t="s">
        <v>106</v>
      </c>
      <c r="AR10" s="9"/>
      <c r="AS10" s="9" t="s">
        <v>68</v>
      </c>
      <c r="AT10" s="9" t="s">
        <v>69</v>
      </c>
      <c r="AU10" s="9" t="s">
        <v>70</v>
      </c>
      <c r="AV10" s="9">
        <v>29</v>
      </c>
    </row>
    <row r="11" spans="1:48">
      <c r="A11" s="9">
        <f t="shared" si="0"/>
        <v>10</v>
      </c>
      <c r="B11" s="9" t="s">
        <v>94</v>
      </c>
      <c r="C11" s="9" t="s">
        <v>122</v>
      </c>
      <c r="D11" s="9">
        <v>1</v>
      </c>
      <c r="E11" s="9">
        <v>1</v>
      </c>
      <c r="F11" s="9" t="s">
        <v>72</v>
      </c>
      <c r="G11" s="9" t="s">
        <v>123</v>
      </c>
      <c r="H11" s="9"/>
      <c r="I11" s="9"/>
      <c r="J11" s="9" t="s">
        <v>53</v>
      </c>
      <c r="K11" s="9" t="s">
        <v>97</v>
      </c>
      <c r="L11" s="9" t="s">
        <v>113</v>
      </c>
      <c r="M11" s="9" t="s">
        <v>56</v>
      </c>
      <c r="N11" s="9" t="s">
        <v>99</v>
      </c>
      <c r="O11" s="9">
        <v>801</v>
      </c>
      <c r="P11" s="9" t="s">
        <v>58</v>
      </c>
      <c r="Q11" s="10">
        <v>2500.00048828125</v>
      </c>
      <c r="R11" s="9">
        <v>30</v>
      </c>
      <c r="S11" s="9"/>
      <c r="T11" s="9">
        <v>90</v>
      </c>
      <c r="U11" s="9">
        <v>10</v>
      </c>
      <c r="V11" s="9">
        <v>1</v>
      </c>
      <c r="W11" s="9">
        <v>2</v>
      </c>
      <c r="X11" s="9">
        <v>348</v>
      </c>
      <c r="Y11" s="9">
        <v>127.749664</v>
      </c>
      <c r="Z11" s="9">
        <v>3</v>
      </c>
      <c r="AA11" s="9">
        <v>640</v>
      </c>
      <c r="AB11" s="9">
        <v>640</v>
      </c>
      <c r="AC11" s="9" t="s">
        <v>100</v>
      </c>
      <c r="AD11" s="9">
        <v>3</v>
      </c>
      <c r="AE11" s="9">
        <v>3.3</v>
      </c>
      <c r="AF11" s="9" t="s">
        <v>124</v>
      </c>
      <c r="AG11" s="9"/>
      <c r="AH11" s="9" t="s">
        <v>77</v>
      </c>
      <c r="AI11" s="10">
        <v>86.5168533325195</v>
      </c>
      <c r="AJ11" s="9">
        <v>100</v>
      </c>
      <c r="AK11" s="9" t="s">
        <v>102</v>
      </c>
      <c r="AL11" s="9">
        <v>8</v>
      </c>
      <c r="AM11" s="9"/>
      <c r="AN11" s="9" t="s">
        <v>103</v>
      </c>
      <c r="AO11" s="9" t="s">
        <v>104</v>
      </c>
      <c r="AP11" s="9" t="s">
        <v>105</v>
      </c>
      <c r="AQ11" s="9" t="s">
        <v>106</v>
      </c>
      <c r="AR11" s="9"/>
      <c r="AS11" s="9" t="s">
        <v>68</v>
      </c>
      <c r="AT11" s="9" t="s">
        <v>69</v>
      </c>
      <c r="AU11" s="9" t="s">
        <v>70</v>
      </c>
      <c r="AV11" s="9">
        <v>30</v>
      </c>
    </row>
    <row r="12" spans="1:48">
      <c r="A12" s="9">
        <f t="shared" si="0"/>
        <v>11</v>
      </c>
      <c r="B12" s="9" t="s">
        <v>94</v>
      </c>
      <c r="C12" s="9" t="s">
        <v>125</v>
      </c>
      <c r="D12" s="9">
        <v>0</v>
      </c>
      <c r="E12" s="9">
        <v>0</v>
      </c>
      <c r="F12" s="9" t="s">
        <v>50</v>
      </c>
      <c r="G12" s="9" t="s">
        <v>126</v>
      </c>
      <c r="H12" s="9"/>
      <c r="I12" s="9"/>
      <c r="J12" s="9" t="s">
        <v>53</v>
      </c>
      <c r="K12" s="9" t="s">
        <v>97</v>
      </c>
      <c r="L12" s="9" t="s">
        <v>98</v>
      </c>
      <c r="M12" s="9" t="s">
        <v>56</v>
      </c>
      <c r="N12" s="9" t="s">
        <v>99</v>
      </c>
      <c r="O12" s="9">
        <v>401</v>
      </c>
      <c r="P12" s="9" t="s">
        <v>58</v>
      </c>
      <c r="Q12" s="10">
        <v>646.807495117187</v>
      </c>
      <c r="R12" s="9">
        <v>11</v>
      </c>
      <c r="S12" s="9"/>
      <c r="T12" s="9">
        <v>90</v>
      </c>
      <c r="U12" s="9">
        <v>3</v>
      </c>
      <c r="V12" s="9">
        <v>1</v>
      </c>
      <c r="W12" s="9">
        <v>1</v>
      </c>
      <c r="X12" s="9">
        <v>313</v>
      </c>
      <c r="Y12" s="9">
        <v>127.749656</v>
      </c>
      <c r="Z12" s="9">
        <v>3</v>
      </c>
      <c r="AA12" s="9">
        <v>512</v>
      </c>
      <c r="AB12" s="9">
        <v>512</v>
      </c>
      <c r="AC12" s="9" t="s">
        <v>127</v>
      </c>
      <c r="AD12" s="9">
        <v>3</v>
      </c>
      <c r="AE12" s="9">
        <v>3.3</v>
      </c>
      <c r="AF12" s="9" t="s">
        <v>128</v>
      </c>
      <c r="AG12" s="9"/>
      <c r="AH12" s="9" t="s">
        <v>61</v>
      </c>
      <c r="AI12" s="10">
        <v>83.2558135986328</v>
      </c>
      <c r="AJ12" s="9">
        <v>100</v>
      </c>
      <c r="AK12" s="9" t="s">
        <v>121</v>
      </c>
      <c r="AL12" s="9">
        <v>11</v>
      </c>
      <c r="AM12" s="9"/>
      <c r="AN12" s="9" t="s">
        <v>103</v>
      </c>
      <c r="AO12" s="9" t="s">
        <v>104</v>
      </c>
      <c r="AP12" s="9" t="s">
        <v>105</v>
      </c>
      <c r="AQ12" s="9" t="s">
        <v>106</v>
      </c>
      <c r="AR12" s="9"/>
      <c r="AS12" s="9" t="s">
        <v>68</v>
      </c>
      <c r="AT12" s="9" t="s">
        <v>69</v>
      </c>
      <c r="AU12" s="9" t="s">
        <v>70</v>
      </c>
      <c r="AV12" s="9">
        <v>29</v>
      </c>
    </row>
    <row r="13" spans="1:48">
      <c r="A13" s="9">
        <f t="shared" si="0"/>
        <v>12</v>
      </c>
      <c r="B13" s="9" t="s">
        <v>94</v>
      </c>
      <c r="C13" s="9" t="s">
        <v>129</v>
      </c>
      <c r="D13" s="9">
        <v>1</v>
      </c>
      <c r="E13" s="9">
        <v>1</v>
      </c>
      <c r="F13" s="9" t="s">
        <v>50</v>
      </c>
      <c r="G13" s="9" t="s">
        <v>130</v>
      </c>
      <c r="H13" s="9"/>
      <c r="I13" s="9"/>
      <c r="J13" s="9" t="s">
        <v>53</v>
      </c>
      <c r="K13" s="9" t="s">
        <v>97</v>
      </c>
      <c r="L13" s="9" t="s">
        <v>113</v>
      </c>
      <c r="M13" s="9" t="s">
        <v>56</v>
      </c>
      <c r="N13" s="9" t="s">
        <v>99</v>
      </c>
      <c r="O13" s="9">
        <v>201</v>
      </c>
      <c r="P13" s="9" t="s">
        <v>58</v>
      </c>
      <c r="Q13" s="9">
        <v>3196.5</v>
      </c>
      <c r="R13" s="9">
        <v>30</v>
      </c>
      <c r="S13" s="9"/>
      <c r="T13" s="9">
        <v>90</v>
      </c>
      <c r="U13" s="9">
        <v>12</v>
      </c>
      <c r="V13" s="9">
        <v>1</v>
      </c>
      <c r="W13" s="9">
        <v>1</v>
      </c>
      <c r="X13" s="9">
        <v>228</v>
      </c>
      <c r="Y13" s="9">
        <v>127.749608</v>
      </c>
      <c r="Z13" s="9">
        <v>3</v>
      </c>
      <c r="AA13" s="9">
        <v>800</v>
      </c>
      <c r="AB13" s="9">
        <v>800</v>
      </c>
      <c r="AC13" s="9" t="s">
        <v>131</v>
      </c>
      <c r="AD13" s="9">
        <v>3</v>
      </c>
      <c r="AE13" s="9">
        <v>3.3</v>
      </c>
      <c r="AF13" s="9" t="s">
        <v>132</v>
      </c>
      <c r="AG13" s="9"/>
      <c r="AH13" s="9" t="s">
        <v>61</v>
      </c>
      <c r="AI13" s="9">
        <v>75</v>
      </c>
      <c r="AJ13" s="9">
        <v>100</v>
      </c>
      <c r="AK13" s="9" t="s">
        <v>121</v>
      </c>
      <c r="AL13" s="9">
        <v>13</v>
      </c>
      <c r="AM13" s="9"/>
      <c r="AN13" s="9" t="s">
        <v>103</v>
      </c>
      <c r="AO13" s="9" t="s">
        <v>104</v>
      </c>
      <c r="AP13" s="9" t="s">
        <v>105</v>
      </c>
      <c r="AQ13" s="9" t="s">
        <v>106</v>
      </c>
      <c r="AR13" s="9"/>
      <c r="AS13" s="9" t="s">
        <v>68</v>
      </c>
      <c r="AT13" s="9" t="s">
        <v>69</v>
      </c>
      <c r="AU13" s="9" t="s">
        <v>70</v>
      </c>
      <c r="AV13" s="9">
        <v>29</v>
      </c>
    </row>
    <row r="14" spans="1:48">
      <c r="A14" s="9">
        <f t="shared" si="0"/>
        <v>13</v>
      </c>
      <c r="B14" s="9" t="s">
        <v>94</v>
      </c>
      <c r="C14" s="9" t="s">
        <v>133</v>
      </c>
      <c r="D14" s="9">
        <v>1</v>
      </c>
      <c r="E14" s="9">
        <v>1</v>
      </c>
      <c r="F14" s="9" t="s">
        <v>91</v>
      </c>
      <c r="G14" s="9" t="s">
        <v>134</v>
      </c>
      <c r="H14" s="9"/>
      <c r="I14" s="9"/>
      <c r="J14" s="9" t="s">
        <v>53</v>
      </c>
      <c r="K14" s="9" t="s">
        <v>97</v>
      </c>
      <c r="L14" s="9" t="s">
        <v>113</v>
      </c>
      <c r="M14" s="9" t="s">
        <v>56</v>
      </c>
      <c r="N14" s="9" t="s">
        <v>99</v>
      </c>
      <c r="O14" s="9">
        <v>501</v>
      </c>
      <c r="P14" s="9" t="s">
        <v>58</v>
      </c>
      <c r="Q14" s="9">
        <v>3987.607421875</v>
      </c>
      <c r="R14" s="9">
        <v>83.008</v>
      </c>
      <c r="S14" s="9"/>
      <c r="T14" s="9">
        <v>90</v>
      </c>
      <c r="U14" s="9">
        <v>20</v>
      </c>
      <c r="V14" s="9">
        <v>1</v>
      </c>
      <c r="W14" s="9">
        <v>1</v>
      </c>
      <c r="X14" s="9">
        <v>269</v>
      </c>
      <c r="Y14" s="9">
        <v>127.749656</v>
      </c>
      <c r="Z14" s="9">
        <v>3</v>
      </c>
      <c r="AA14" s="9">
        <v>640</v>
      </c>
      <c r="AB14" s="9">
        <v>640</v>
      </c>
      <c r="AC14" s="9" t="s">
        <v>100</v>
      </c>
      <c r="AD14" s="9">
        <v>3</v>
      </c>
      <c r="AE14" s="9">
        <v>3.3</v>
      </c>
      <c r="AF14" s="9" t="s">
        <v>135</v>
      </c>
      <c r="AG14" s="9"/>
      <c r="AH14" s="9" t="s">
        <v>77</v>
      </c>
      <c r="AI14" s="9">
        <v>100</v>
      </c>
      <c r="AJ14" s="9">
        <v>100</v>
      </c>
      <c r="AK14" s="9" t="s">
        <v>136</v>
      </c>
      <c r="AL14" s="9">
        <v>11</v>
      </c>
      <c r="AM14" s="9"/>
      <c r="AN14" s="9" t="s">
        <v>103</v>
      </c>
      <c r="AO14" s="9" t="s">
        <v>104</v>
      </c>
      <c r="AP14" s="9" t="s">
        <v>105</v>
      </c>
      <c r="AQ14" s="9" t="s">
        <v>106</v>
      </c>
      <c r="AR14" s="9"/>
      <c r="AS14" s="9" t="s">
        <v>68</v>
      </c>
      <c r="AT14" s="9" t="s">
        <v>69</v>
      </c>
      <c r="AU14" s="9" t="s">
        <v>70</v>
      </c>
      <c r="AV14" s="9">
        <v>40</v>
      </c>
    </row>
    <row r="15" spans="1:48">
      <c r="A15" s="9">
        <f t="shared" si="0"/>
        <v>14</v>
      </c>
      <c r="B15" s="9" t="s">
        <v>94</v>
      </c>
      <c r="C15" s="9" t="s">
        <v>137</v>
      </c>
      <c r="D15" s="9">
        <v>0</v>
      </c>
      <c r="E15" s="9">
        <v>0</v>
      </c>
      <c r="F15" s="9" t="s">
        <v>91</v>
      </c>
      <c r="G15" s="9" t="s">
        <v>138</v>
      </c>
      <c r="H15" s="9"/>
      <c r="I15" s="9"/>
      <c r="J15" s="9" t="s">
        <v>53</v>
      </c>
      <c r="K15" s="9" t="s">
        <v>97</v>
      </c>
      <c r="L15" s="9" t="s">
        <v>98</v>
      </c>
      <c r="M15" s="9" t="s">
        <v>56</v>
      </c>
      <c r="N15" s="9" t="s">
        <v>99</v>
      </c>
      <c r="O15" s="9">
        <v>601</v>
      </c>
      <c r="P15" s="9" t="s">
        <v>58</v>
      </c>
      <c r="Q15" s="10">
        <v>545.468994140625</v>
      </c>
      <c r="R15" s="9">
        <v>11</v>
      </c>
      <c r="S15" s="9"/>
      <c r="T15" s="9">
        <v>90</v>
      </c>
      <c r="U15" s="9">
        <v>4</v>
      </c>
      <c r="V15" s="9">
        <v>1</v>
      </c>
      <c r="W15" s="9">
        <v>1</v>
      </c>
      <c r="X15" s="9">
        <v>292</v>
      </c>
      <c r="Y15" s="9">
        <v>127.749664</v>
      </c>
      <c r="Z15" s="9">
        <v>3</v>
      </c>
      <c r="AA15" s="9">
        <v>704</v>
      </c>
      <c r="AB15" s="9">
        <v>704</v>
      </c>
      <c r="AC15" s="9" t="s">
        <v>109</v>
      </c>
      <c r="AD15" s="9">
        <v>3</v>
      </c>
      <c r="AE15" s="9">
        <v>3.3</v>
      </c>
      <c r="AF15" s="9" t="s">
        <v>139</v>
      </c>
      <c r="AG15" s="9"/>
      <c r="AH15" s="9" t="s">
        <v>77</v>
      </c>
      <c r="AI15" s="9">
        <v>87.5</v>
      </c>
      <c r="AJ15" s="9">
        <v>100</v>
      </c>
      <c r="AK15" s="9" t="s">
        <v>136</v>
      </c>
      <c r="AL15" s="9">
        <v>13</v>
      </c>
      <c r="AM15" s="9"/>
      <c r="AN15" s="9" t="s">
        <v>103</v>
      </c>
      <c r="AO15" s="9" t="s">
        <v>104</v>
      </c>
      <c r="AP15" s="9" t="s">
        <v>105</v>
      </c>
      <c r="AQ15" s="9" t="s">
        <v>106</v>
      </c>
      <c r="AR15" s="9"/>
      <c r="AS15" s="9" t="s">
        <v>68</v>
      </c>
      <c r="AT15" s="9" t="s">
        <v>69</v>
      </c>
      <c r="AU15" s="9" t="s">
        <v>70</v>
      </c>
      <c r="AV15" s="9">
        <v>40</v>
      </c>
    </row>
    <row r="16" spans="1:48">
      <c r="A16" s="9">
        <f t="shared" si="0"/>
        <v>15</v>
      </c>
      <c r="B16" s="9" t="s">
        <v>140</v>
      </c>
      <c r="C16" s="9" t="s">
        <v>141</v>
      </c>
      <c r="D16" s="9">
        <v>1</v>
      </c>
      <c r="E16" s="9">
        <v>1</v>
      </c>
      <c r="F16" s="9" t="s">
        <v>50</v>
      </c>
      <c r="G16" s="9" t="s">
        <v>142</v>
      </c>
      <c r="H16" s="9"/>
      <c r="I16" s="9"/>
      <c r="J16" s="9" t="s">
        <v>53</v>
      </c>
      <c r="K16" s="9" t="s">
        <v>143</v>
      </c>
      <c r="L16" s="9" t="s">
        <v>144</v>
      </c>
      <c r="M16" s="9" t="s">
        <v>56</v>
      </c>
      <c r="N16" s="9" t="s">
        <v>145</v>
      </c>
      <c r="O16" s="9">
        <v>6</v>
      </c>
      <c r="P16" s="9" t="s">
        <v>58</v>
      </c>
      <c r="Q16" s="9">
        <v>3056</v>
      </c>
      <c r="R16" s="9">
        <v>45.824</v>
      </c>
      <c r="S16" s="9"/>
      <c r="T16" s="9">
        <v>160</v>
      </c>
      <c r="U16" s="9">
        <v>8</v>
      </c>
      <c r="V16" s="9">
        <v>1</v>
      </c>
      <c r="W16" s="9">
        <v>0.5</v>
      </c>
      <c r="X16" s="9">
        <v>81.3672</v>
      </c>
      <c r="Y16" s="9">
        <v>63.905457</v>
      </c>
      <c r="Z16" s="9">
        <v>1.5</v>
      </c>
      <c r="AA16" s="9">
        <v>640</v>
      </c>
      <c r="AB16" s="9">
        <v>640</v>
      </c>
      <c r="AC16" s="9" t="s">
        <v>146</v>
      </c>
      <c r="AD16" s="9">
        <v>4</v>
      </c>
      <c r="AE16" s="9">
        <v>4.5</v>
      </c>
      <c r="AF16" s="9" t="s">
        <v>147</v>
      </c>
      <c r="AG16" s="9"/>
      <c r="AH16" s="9" t="s">
        <v>61</v>
      </c>
      <c r="AI16" s="9">
        <v>57.1429</v>
      </c>
      <c r="AJ16" s="9">
        <v>100</v>
      </c>
      <c r="AK16" s="9" t="s">
        <v>148</v>
      </c>
      <c r="AL16" s="9">
        <v>7</v>
      </c>
      <c r="AM16" s="9">
        <v>1</v>
      </c>
      <c r="AN16" s="9" t="s">
        <v>149</v>
      </c>
      <c r="AO16" s="9" t="s">
        <v>150</v>
      </c>
      <c r="AP16" s="9" t="s">
        <v>151</v>
      </c>
      <c r="AQ16" s="9" t="s">
        <v>152</v>
      </c>
      <c r="AR16" s="9"/>
      <c r="AS16" s="9" t="s">
        <v>68</v>
      </c>
      <c r="AT16" s="9" t="s">
        <v>69</v>
      </c>
      <c r="AU16" s="9"/>
      <c r="AV16" s="9">
        <v>24</v>
      </c>
    </row>
    <row r="17" spans="1:48">
      <c r="A17" s="9">
        <f t="shared" si="0"/>
        <v>16</v>
      </c>
      <c r="B17" s="9" t="s">
        <v>140</v>
      </c>
      <c r="C17" s="9" t="s">
        <v>153</v>
      </c>
      <c r="D17" s="9">
        <v>0</v>
      </c>
      <c r="E17" s="9">
        <v>0</v>
      </c>
      <c r="F17" s="9" t="s">
        <v>72</v>
      </c>
      <c r="G17" s="9" t="s">
        <v>154</v>
      </c>
      <c r="H17" s="9"/>
      <c r="I17" s="9"/>
      <c r="J17" s="9" t="s">
        <v>53</v>
      </c>
      <c r="K17" s="9" t="s">
        <v>143</v>
      </c>
      <c r="L17" s="9" t="s">
        <v>155</v>
      </c>
      <c r="M17" s="9" t="s">
        <v>56</v>
      </c>
      <c r="N17" s="9" t="s">
        <v>145</v>
      </c>
      <c r="O17" s="9">
        <v>4</v>
      </c>
      <c r="P17" s="9" t="s">
        <v>58</v>
      </c>
      <c r="Q17" s="9">
        <v>498</v>
      </c>
      <c r="R17" s="9">
        <v>12.12</v>
      </c>
      <c r="S17" s="9"/>
      <c r="T17" s="9">
        <v>160</v>
      </c>
      <c r="U17" s="9">
        <v>3</v>
      </c>
      <c r="V17" s="9">
        <v>1</v>
      </c>
      <c r="W17" s="9">
        <v>0.5</v>
      </c>
      <c r="X17" s="9">
        <v>81.3672</v>
      </c>
      <c r="Y17" s="9">
        <v>63.905472</v>
      </c>
      <c r="Z17" s="9">
        <v>1.5</v>
      </c>
      <c r="AA17" s="9">
        <v>640</v>
      </c>
      <c r="AB17" s="9">
        <v>640</v>
      </c>
      <c r="AC17" s="9" t="s">
        <v>146</v>
      </c>
      <c r="AD17" s="9">
        <v>3</v>
      </c>
      <c r="AE17" s="9">
        <v>3.5</v>
      </c>
      <c r="AF17" s="9" t="s">
        <v>156</v>
      </c>
      <c r="AG17" s="9"/>
      <c r="AH17" s="9" t="s">
        <v>77</v>
      </c>
      <c r="AI17" s="9">
        <v>58.3333</v>
      </c>
      <c r="AJ17" s="9">
        <v>100</v>
      </c>
      <c r="AK17" s="9" t="s">
        <v>157</v>
      </c>
      <c r="AL17" s="9">
        <v>20</v>
      </c>
      <c r="AM17" s="9">
        <v>1</v>
      </c>
      <c r="AN17" s="9" t="s">
        <v>149</v>
      </c>
      <c r="AO17" s="9" t="s">
        <v>150</v>
      </c>
      <c r="AP17" s="9" t="s">
        <v>151</v>
      </c>
      <c r="AQ17" s="9" t="s">
        <v>152</v>
      </c>
      <c r="AR17" s="9"/>
      <c r="AS17" s="9" t="s">
        <v>68</v>
      </c>
      <c r="AT17" s="9" t="s">
        <v>69</v>
      </c>
      <c r="AU17" s="9"/>
      <c r="AV17" s="9">
        <v>32</v>
      </c>
    </row>
    <row r="18" spans="1:48">
      <c r="A18" s="9">
        <f t="shared" si="0"/>
        <v>17</v>
      </c>
      <c r="B18" s="9" t="s">
        <v>140</v>
      </c>
      <c r="C18" s="9" t="s">
        <v>158</v>
      </c>
      <c r="D18" s="9">
        <v>1</v>
      </c>
      <c r="E18" s="9">
        <v>1</v>
      </c>
      <c r="F18" s="9" t="s">
        <v>91</v>
      </c>
      <c r="G18" s="9" t="s">
        <v>159</v>
      </c>
      <c r="H18" s="9"/>
      <c r="I18" s="9"/>
      <c r="J18" s="9" t="s">
        <v>53</v>
      </c>
      <c r="K18" s="9" t="s">
        <v>143</v>
      </c>
      <c r="L18" s="9" t="s">
        <v>160</v>
      </c>
      <c r="M18" s="9" t="s">
        <v>56</v>
      </c>
      <c r="N18" s="9" t="s">
        <v>145</v>
      </c>
      <c r="O18" s="9">
        <v>2</v>
      </c>
      <c r="P18" s="9" t="s">
        <v>58</v>
      </c>
      <c r="Q18" s="9">
        <v>4286</v>
      </c>
      <c r="R18" s="9">
        <v>54.24</v>
      </c>
      <c r="S18" s="9"/>
      <c r="T18" s="9">
        <v>160</v>
      </c>
      <c r="U18" s="9">
        <v>8</v>
      </c>
      <c r="V18" s="9">
        <v>1</v>
      </c>
      <c r="W18" s="9">
        <v>0.5</v>
      </c>
      <c r="X18" s="9">
        <v>108.516</v>
      </c>
      <c r="Y18" s="9">
        <v>63.905453</v>
      </c>
      <c r="Z18" s="9">
        <v>1.5</v>
      </c>
      <c r="AA18" s="9">
        <v>640</v>
      </c>
      <c r="AB18" s="9">
        <v>640</v>
      </c>
      <c r="AC18" s="9" t="s">
        <v>146</v>
      </c>
      <c r="AD18" s="9">
        <v>3</v>
      </c>
      <c r="AE18" s="9">
        <v>3.5</v>
      </c>
      <c r="AF18" s="9" t="s">
        <v>161</v>
      </c>
      <c r="AG18" s="9"/>
      <c r="AH18" s="9" t="s">
        <v>61</v>
      </c>
      <c r="AI18" s="9">
        <v>58.3333</v>
      </c>
      <c r="AJ18" s="9">
        <v>100</v>
      </c>
      <c r="AK18" s="9" t="s">
        <v>162</v>
      </c>
      <c r="AL18" s="9">
        <v>32</v>
      </c>
      <c r="AM18" s="9">
        <v>1</v>
      </c>
      <c r="AN18" s="9" t="s">
        <v>149</v>
      </c>
      <c r="AO18" s="9" t="s">
        <v>150</v>
      </c>
      <c r="AP18" s="9" t="s">
        <v>151</v>
      </c>
      <c r="AQ18" s="9" t="s">
        <v>152</v>
      </c>
      <c r="AR18" s="9"/>
      <c r="AS18" s="9" t="s">
        <v>68</v>
      </c>
      <c r="AT18" s="9" t="s">
        <v>69</v>
      </c>
      <c r="AU18" s="9"/>
      <c r="AV18" s="9">
        <v>40</v>
      </c>
    </row>
    <row r="19" spans="1:48">
      <c r="A19" s="9">
        <f t="shared" si="0"/>
        <v>18</v>
      </c>
      <c r="B19" s="9" t="s">
        <v>140</v>
      </c>
      <c r="C19" s="9" t="s">
        <v>163</v>
      </c>
      <c r="D19" s="9">
        <v>1</v>
      </c>
      <c r="E19" s="9">
        <v>1</v>
      </c>
      <c r="F19" s="9" t="s">
        <v>72</v>
      </c>
      <c r="G19" s="9" t="s">
        <v>164</v>
      </c>
      <c r="H19" s="9"/>
      <c r="I19" s="9"/>
      <c r="J19" s="9" t="s">
        <v>53</v>
      </c>
      <c r="K19" s="9" t="s">
        <v>143</v>
      </c>
      <c r="L19" s="9" t="s">
        <v>165</v>
      </c>
      <c r="M19" s="9" t="s">
        <v>56</v>
      </c>
      <c r="N19" s="9" t="s">
        <v>145</v>
      </c>
      <c r="O19" s="9">
        <v>3</v>
      </c>
      <c r="P19" s="9" t="s">
        <v>58</v>
      </c>
      <c r="Q19" s="9">
        <v>5312</v>
      </c>
      <c r="R19" s="9">
        <v>51.84</v>
      </c>
      <c r="S19" s="9"/>
      <c r="T19" s="9">
        <v>160</v>
      </c>
      <c r="U19" s="9">
        <v>10</v>
      </c>
      <c r="V19" s="9">
        <v>1</v>
      </c>
      <c r="W19" s="9">
        <v>1</v>
      </c>
      <c r="X19" s="9">
        <v>65.1172</v>
      </c>
      <c r="Y19" s="9">
        <v>63.905472</v>
      </c>
      <c r="Z19" s="9">
        <v>1.5</v>
      </c>
      <c r="AA19" s="9">
        <v>640</v>
      </c>
      <c r="AB19" s="9">
        <v>640</v>
      </c>
      <c r="AC19" s="9" t="s">
        <v>146</v>
      </c>
      <c r="AD19" s="9">
        <v>3</v>
      </c>
      <c r="AE19" s="9">
        <v>3.5</v>
      </c>
      <c r="AF19" s="9" t="s">
        <v>166</v>
      </c>
      <c r="AG19" s="9"/>
      <c r="AH19" s="9" t="s">
        <v>77</v>
      </c>
      <c r="AI19" s="9">
        <v>100</v>
      </c>
      <c r="AJ19" s="9">
        <v>100</v>
      </c>
      <c r="AK19" s="9" t="s">
        <v>167</v>
      </c>
      <c r="AL19" s="9">
        <v>9</v>
      </c>
      <c r="AM19" s="9">
        <v>1</v>
      </c>
      <c r="AN19" s="9" t="s">
        <v>149</v>
      </c>
      <c r="AO19" s="9" t="s">
        <v>150</v>
      </c>
      <c r="AP19" s="9" t="s">
        <v>151</v>
      </c>
      <c r="AQ19" s="9" t="s">
        <v>152</v>
      </c>
      <c r="AR19" s="9"/>
      <c r="AS19" s="9" t="s">
        <v>68</v>
      </c>
      <c r="AT19" s="9" t="s">
        <v>69</v>
      </c>
      <c r="AU19" s="9"/>
      <c r="AV19" s="9">
        <v>32</v>
      </c>
    </row>
    <row r="20" spans="1:48">
      <c r="A20" s="9">
        <f t="shared" si="0"/>
        <v>19</v>
      </c>
      <c r="B20" s="9" t="s">
        <v>140</v>
      </c>
      <c r="C20" s="9" t="s">
        <v>168</v>
      </c>
      <c r="D20" s="9">
        <v>1</v>
      </c>
      <c r="E20" s="9">
        <v>1</v>
      </c>
      <c r="F20" s="9" t="s">
        <v>72</v>
      </c>
      <c r="G20" s="9" t="s">
        <v>169</v>
      </c>
      <c r="H20" s="9"/>
      <c r="I20" s="9"/>
      <c r="J20" s="9" t="s">
        <v>170</v>
      </c>
      <c r="K20" s="9" t="s">
        <v>171</v>
      </c>
      <c r="L20" s="9" t="s">
        <v>172</v>
      </c>
      <c r="M20" s="9" t="s">
        <v>56</v>
      </c>
      <c r="N20" s="9" t="s">
        <v>145</v>
      </c>
      <c r="O20" s="9">
        <v>7</v>
      </c>
      <c r="P20" s="9" t="s">
        <v>58</v>
      </c>
      <c r="Q20" s="9">
        <v>3942</v>
      </c>
      <c r="R20" s="9">
        <v>46.84</v>
      </c>
      <c r="S20" s="9">
        <v>140</v>
      </c>
      <c r="T20" s="9">
        <v>160</v>
      </c>
      <c r="U20" s="9">
        <v>12</v>
      </c>
      <c r="V20" s="9">
        <v>1</v>
      </c>
      <c r="W20" s="9">
        <v>0.5</v>
      </c>
      <c r="X20" s="9">
        <v>122.07</v>
      </c>
      <c r="Y20" s="9">
        <v>63.905457</v>
      </c>
      <c r="Z20" s="9">
        <v>1.5</v>
      </c>
      <c r="AA20" s="9">
        <v>640</v>
      </c>
      <c r="AB20" s="9">
        <v>640</v>
      </c>
      <c r="AC20" s="9" t="s">
        <v>146</v>
      </c>
      <c r="AD20" s="9">
        <v>3</v>
      </c>
      <c r="AE20" s="9">
        <v>3.5</v>
      </c>
      <c r="AF20" s="9" t="s">
        <v>166</v>
      </c>
      <c r="AG20" s="9"/>
      <c r="AH20" s="9" t="s">
        <v>77</v>
      </c>
      <c r="AI20" s="9">
        <v>58.3333</v>
      </c>
      <c r="AJ20" s="9">
        <v>100</v>
      </c>
      <c r="AK20" s="9" t="s">
        <v>173</v>
      </c>
      <c r="AL20" s="9">
        <v>17</v>
      </c>
      <c r="AM20" s="9">
        <v>1</v>
      </c>
      <c r="AN20" s="9" t="s">
        <v>149</v>
      </c>
      <c r="AO20" s="9" t="s">
        <v>150</v>
      </c>
      <c r="AP20" s="9" t="s">
        <v>151</v>
      </c>
      <c r="AQ20" s="9" t="s">
        <v>152</v>
      </c>
      <c r="AR20" s="9"/>
      <c r="AS20" s="9" t="s">
        <v>68</v>
      </c>
      <c r="AT20" s="9" t="s">
        <v>69</v>
      </c>
      <c r="AU20" s="9"/>
      <c r="AV20" s="9">
        <v>30</v>
      </c>
    </row>
    <row r="21" spans="1:48">
      <c r="A21" s="9">
        <f t="shared" si="0"/>
        <v>20</v>
      </c>
      <c r="B21" s="9" t="s">
        <v>140</v>
      </c>
      <c r="C21" s="9" t="s">
        <v>174</v>
      </c>
      <c r="D21" s="9">
        <v>1</v>
      </c>
      <c r="E21" s="9">
        <v>1</v>
      </c>
      <c r="F21" s="9" t="s">
        <v>91</v>
      </c>
      <c r="G21" s="9" t="s">
        <v>175</v>
      </c>
      <c r="H21" s="9"/>
      <c r="I21" s="9"/>
      <c r="J21" s="9" t="s">
        <v>170</v>
      </c>
      <c r="K21" s="9" t="s">
        <v>171</v>
      </c>
      <c r="L21" s="9" t="s">
        <v>172</v>
      </c>
      <c r="M21" s="9" t="s">
        <v>56</v>
      </c>
      <c r="N21" s="9" t="s">
        <v>145</v>
      </c>
      <c r="O21" s="9">
        <v>8</v>
      </c>
      <c r="P21" s="9" t="s">
        <v>58</v>
      </c>
      <c r="Q21" s="9">
        <v>4167</v>
      </c>
      <c r="R21" s="9">
        <v>52.48</v>
      </c>
      <c r="S21" s="9">
        <v>140</v>
      </c>
      <c r="T21" s="9">
        <v>160</v>
      </c>
      <c r="U21" s="9">
        <v>12</v>
      </c>
      <c r="V21" s="9">
        <v>1</v>
      </c>
      <c r="W21" s="9">
        <v>0.5</v>
      </c>
      <c r="X21" s="9">
        <v>97.6562</v>
      </c>
      <c r="Y21" s="9">
        <v>63.905457</v>
      </c>
      <c r="Z21" s="9">
        <v>1.5</v>
      </c>
      <c r="AA21" s="9">
        <v>640</v>
      </c>
      <c r="AB21" s="9">
        <v>640</v>
      </c>
      <c r="AC21" s="9" t="s">
        <v>176</v>
      </c>
      <c r="AD21" s="9">
        <v>3</v>
      </c>
      <c r="AE21" s="9">
        <v>3.5</v>
      </c>
      <c r="AF21" s="9" t="s">
        <v>177</v>
      </c>
      <c r="AG21" s="9"/>
      <c r="AH21" s="9" t="s">
        <v>61</v>
      </c>
      <c r="AI21" s="9">
        <v>60</v>
      </c>
      <c r="AJ21" s="9">
        <v>100</v>
      </c>
      <c r="AK21" s="9" t="s">
        <v>178</v>
      </c>
      <c r="AL21" s="9">
        <v>26</v>
      </c>
      <c r="AM21" s="9">
        <v>1</v>
      </c>
      <c r="AN21" s="9" t="s">
        <v>149</v>
      </c>
      <c r="AO21" s="9" t="s">
        <v>150</v>
      </c>
      <c r="AP21" s="9" t="s">
        <v>151</v>
      </c>
      <c r="AQ21" s="9" t="s">
        <v>152</v>
      </c>
      <c r="AR21" s="9"/>
      <c r="AS21" s="9" t="s">
        <v>68</v>
      </c>
      <c r="AT21" s="9" t="s">
        <v>69</v>
      </c>
      <c r="AU21" s="9"/>
      <c r="AV21" s="9">
        <v>30</v>
      </c>
    </row>
    <row r="22" spans="1:48">
      <c r="A22" s="9">
        <f t="shared" si="0"/>
        <v>21</v>
      </c>
      <c r="B22" s="9" t="s">
        <v>140</v>
      </c>
      <c r="C22" s="9" t="s">
        <v>179</v>
      </c>
      <c r="D22" s="9">
        <v>0</v>
      </c>
      <c r="E22" s="9">
        <v>0</v>
      </c>
      <c r="F22" s="9" t="s">
        <v>50</v>
      </c>
      <c r="G22" s="9" t="s">
        <v>180</v>
      </c>
      <c r="H22" s="9"/>
      <c r="I22" s="9"/>
      <c r="J22" s="9" t="s">
        <v>53</v>
      </c>
      <c r="K22" s="9" t="s">
        <v>143</v>
      </c>
      <c r="L22" s="9" t="s">
        <v>155</v>
      </c>
      <c r="M22" s="9" t="s">
        <v>56</v>
      </c>
      <c r="N22" s="9" t="s">
        <v>145</v>
      </c>
      <c r="O22" s="9">
        <v>5</v>
      </c>
      <c r="P22" s="9" t="s">
        <v>58</v>
      </c>
      <c r="Q22" s="9">
        <v>1775</v>
      </c>
      <c r="R22" s="9">
        <v>21.696</v>
      </c>
      <c r="S22" s="9"/>
      <c r="T22" s="9">
        <v>160</v>
      </c>
      <c r="U22" s="9">
        <v>6</v>
      </c>
      <c r="V22" s="9">
        <v>1</v>
      </c>
      <c r="W22" s="9">
        <v>0.5</v>
      </c>
      <c r="X22" s="9">
        <v>122.07</v>
      </c>
      <c r="Y22" s="9">
        <v>63.905472</v>
      </c>
      <c r="Z22" s="9">
        <v>1.5</v>
      </c>
      <c r="AA22" s="9">
        <v>640</v>
      </c>
      <c r="AB22" s="9">
        <v>640</v>
      </c>
      <c r="AC22" s="9" t="s">
        <v>146</v>
      </c>
      <c r="AD22" s="9">
        <v>4</v>
      </c>
      <c r="AE22" s="9">
        <v>4.5</v>
      </c>
      <c r="AF22" s="9" t="s">
        <v>181</v>
      </c>
      <c r="AG22" s="9"/>
      <c r="AH22" s="9" t="s">
        <v>61</v>
      </c>
      <c r="AI22" s="9">
        <v>56.25</v>
      </c>
      <c r="AJ22" s="9">
        <v>100</v>
      </c>
      <c r="AK22" s="9" t="s">
        <v>182</v>
      </c>
      <c r="AL22" s="9">
        <v>1</v>
      </c>
      <c r="AM22" s="9">
        <v>1</v>
      </c>
      <c r="AN22" s="9" t="s">
        <v>149</v>
      </c>
      <c r="AO22" s="9" t="s">
        <v>150</v>
      </c>
      <c r="AP22" s="9" t="s">
        <v>151</v>
      </c>
      <c r="AQ22" s="9" t="s">
        <v>152</v>
      </c>
      <c r="AR22" s="9"/>
      <c r="AS22" s="9" t="s">
        <v>68</v>
      </c>
      <c r="AT22" s="9" t="s">
        <v>69</v>
      </c>
      <c r="AU22" s="9"/>
      <c r="AV22" s="9">
        <v>24</v>
      </c>
    </row>
    <row r="23" spans="1:48">
      <c r="A23" s="9">
        <f t="shared" si="0"/>
        <v>22</v>
      </c>
      <c r="B23" s="9" t="s">
        <v>183</v>
      </c>
      <c r="C23" s="9" t="s">
        <v>184</v>
      </c>
      <c r="D23" s="9">
        <v>1</v>
      </c>
      <c r="E23" s="9">
        <v>1</v>
      </c>
      <c r="F23" s="9" t="s">
        <v>50</v>
      </c>
      <c r="G23" s="9" t="s">
        <v>185</v>
      </c>
      <c r="H23" s="9"/>
      <c r="I23" s="9"/>
      <c r="J23" s="9"/>
      <c r="K23" s="9"/>
      <c r="L23" s="9"/>
      <c r="M23" s="9"/>
      <c r="N23" s="9" t="s">
        <v>145</v>
      </c>
      <c r="O23" s="9">
        <v>7</v>
      </c>
      <c r="P23" s="9" t="s">
        <v>58</v>
      </c>
      <c r="Q23" s="9"/>
      <c r="R23" s="9"/>
      <c r="S23" s="9"/>
      <c r="T23" s="9"/>
      <c r="U23" s="9"/>
      <c r="V23" s="9"/>
      <c r="W23" s="9"/>
      <c r="X23" s="9"/>
      <c r="Y23" s="9"/>
      <c r="Z23" s="9"/>
      <c r="AA23" s="9">
        <v>512</v>
      </c>
      <c r="AB23" s="9">
        <v>512</v>
      </c>
      <c r="AC23" s="9" t="s">
        <v>186</v>
      </c>
      <c r="AD23" s="9">
        <v>4</v>
      </c>
      <c r="AE23" s="9"/>
      <c r="AF23" s="9"/>
      <c r="AG23" s="9"/>
      <c r="AH23" s="9"/>
      <c r="AI23" s="9"/>
      <c r="AJ23" s="9"/>
      <c r="AK23" s="9" t="s">
        <v>187</v>
      </c>
      <c r="AL23" s="9">
        <v>10</v>
      </c>
      <c r="AM23" s="9"/>
      <c r="AN23" s="9" t="s">
        <v>149</v>
      </c>
      <c r="AO23" s="9" t="s">
        <v>150</v>
      </c>
      <c r="AP23" s="9"/>
      <c r="AQ23" s="9"/>
      <c r="AR23" s="9"/>
      <c r="AS23" s="9"/>
      <c r="AT23" s="9"/>
      <c r="AU23" s="9"/>
      <c r="AV23" s="9">
        <v>19</v>
      </c>
    </row>
    <row r="24" spans="1:48">
      <c r="A24" s="9">
        <f t="shared" si="0"/>
        <v>23</v>
      </c>
      <c r="B24" s="9" t="s">
        <v>183</v>
      </c>
      <c r="C24" s="9" t="s">
        <v>188</v>
      </c>
      <c r="D24" s="9">
        <v>1</v>
      </c>
      <c r="E24" s="9">
        <v>1</v>
      </c>
      <c r="F24" s="9" t="s">
        <v>72</v>
      </c>
      <c r="G24" s="9" t="s">
        <v>189</v>
      </c>
      <c r="H24" s="9"/>
      <c r="I24" s="9"/>
      <c r="J24" s="9"/>
      <c r="K24" s="9"/>
      <c r="L24" s="9"/>
      <c r="M24" s="9"/>
      <c r="N24" s="9" t="s">
        <v>145</v>
      </c>
      <c r="O24" s="9">
        <v>9</v>
      </c>
      <c r="P24" s="9" t="s">
        <v>58</v>
      </c>
      <c r="Q24" s="9"/>
      <c r="R24" s="9"/>
      <c r="S24" s="9"/>
      <c r="T24" s="9"/>
      <c r="U24" s="9"/>
      <c r="V24" s="9"/>
      <c r="W24" s="9"/>
      <c r="X24" s="9"/>
      <c r="Y24" s="9"/>
      <c r="Z24" s="9"/>
      <c r="AA24" s="9">
        <v>512</v>
      </c>
      <c r="AB24" s="9">
        <v>512</v>
      </c>
      <c r="AC24" s="9" t="s">
        <v>190</v>
      </c>
      <c r="AD24" s="9">
        <v>4</v>
      </c>
      <c r="AE24" s="9"/>
      <c r="AF24" s="9"/>
      <c r="AG24" s="9"/>
      <c r="AH24" s="9"/>
      <c r="AI24" s="9"/>
      <c r="AJ24" s="9"/>
      <c r="AK24" s="9" t="s">
        <v>191</v>
      </c>
      <c r="AL24" s="9">
        <v>3</v>
      </c>
      <c r="AM24" s="9"/>
      <c r="AN24" s="9" t="s">
        <v>149</v>
      </c>
      <c r="AO24" s="9" t="s">
        <v>150</v>
      </c>
      <c r="AP24" s="9"/>
      <c r="AQ24" s="9"/>
      <c r="AR24" s="9"/>
      <c r="AS24" s="9"/>
      <c r="AT24" s="9"/>
      <c r="AU24" s="9"/>
      <c r="AV24" s="9">
        <v>26</v>
      </c>
    </row>
    <row r="25" spans="1:48">
      <c r="A25" s="9">
        <f t="shared" si="0"/>
        <v>24</v>
      </c>
      <c r="B25" s="9" t="s">
        <v>183</v>
      </c>
      <c r="C25" s="9" t="s">
        <v>192</v>
      </c>
      <c r="D25" s="9">
        <v>1</v>
      </c>
      <c r="E25" s="9">
        <v>1</v>
      </c>
      <c r="F25" s="9" t="s">
        <v>91</v>
      </c>
      <c r="G25" s="9" t="s">
        <v>193</v>
      </c>
      <c r="H25" s="9"/>
      <c r="I25" s="9"/>
      <c r="J25" s="9"/>
      <c r="K25" s="9"/>
      <c r="L25" s="9"/>
      <c r="M25" s="9"/>
      <c r="N25" s="9" t="s">
        <v>145</v>
      </c>
      <c r="O25" s="9">
        <v>6</v>
      </c>
      <c r="P25" s="9" t="s">
        <v>58</v>
      </c>
      <c r="Q25" s="9"/>
      <c r="R25" s="9"/>
      <c r="S25" s="9"/>
      <c r="T25" s="9"/>
      <c r="U25" s="9"/>
      <c r="V25" s="9"/>
      <c r="W25" s="9"/>
      <c r="X25" s="9"/>
      <c r="Y25" s="9"/>
      <c r="Z25" s="9"/>
      <c r="AA25" s="9">
        <v>512</v>
      </c>
      <c r="AB25" s="9">
        <v>512</v>
      </c>
      <c r="AC25" s="9" t="s">
        <v>194</v>
      </c>
      <c r="AD25" s="9">
        <v>4</v>
      </c>
      <c r="AE25" s="9"/>
      <c r="AF25" s="9"/>
      <c r="AG25" s="9"/>
      <c r="AH25" s="9"/>
      <c r="AI25" s="9"/>
      <c r="AJ25" s="9"/>
      <c r="AK25" s="9" t="s">
        <v>195</v>
      </c>
      <c r="AL25" s="9">
        <v>15</v>
      </c>
      <c r="AM25" s="9"/>
      <c r="AN25" s="9" t="s">
        <v>149</v>
      </c>
      <c r="AO25" s="9" t="s">
        <v>150</v>
      </c>
      <c r="AP25" s="9"/>
      <c r="AQ25" s="9"/>
      <c r="AR25" s="9"/>
      <c r="AS25" s="9"/>
      <c r="AT25" s="9"/>
      <c r="AU25" s="9"/>
      <c r="AV25" s="9">
        <v>30</v>
      </c>
    </row>
    <row r="26" spans="1:48">
      <c r="A26" s="9">
        <f t="shared" si="0"/>
        <v>25</v>
      </c>
      <c r="B26" s="9" t="s">
        <v>183</v>
      </c>
      <c r="C26" s="9" t="s">
        <v>196</v>
      </c>
      <c r="D26" s="9">
        <v>0</v>
      </c>
      <c r="E26" s="9">
        <v>0</v>
      </c>
      <c r="F26" s="9" t="s">
        <v>50</v>
      </c>
      <c r="G26" s="9" t="s">
        <v>197</v>
      </c>
      <c r="H26" s="9"/>
      <c r="I26" s="9"/>
      <c r="J26" s="9"/>
      <c r="K26" s="9"/>
      <c r="L26" s="9"/>
      <c r="M26" s="9"/>
      <c r="N26" s="9" t="s">
        <v>145</v>
      </c>
      <c r="O26" s="9">
        <v>8</v>
      </c>
      <c r="P26" s="9" t="s">
        <v>58</v>
      </c>
      <c r="Q26" s="9"/>
      <c r="R26" s="9"/>
      <c r="S26" s="9"/>
      <c r="T26" s="9"/>
      <c r="U26" s="9"/>
      <c r="V26" s="9"/>
      <c r="W26" s="9"/>
      <c r="X26" s="9"/>
      <c r="Y26" s="9"/>
      <c r="Z26" s="9"/>
      <c r="AA26" s="9">
        <v>512</v>
      </c>
      <c r="AB26" s="9">
        <v>512</v>
      </c>
      <c r="AC26" s="9" t="s">
        <v>186</v>
      </c>
      <c r="AD26" s="9">
        <v>4</v>
      </c>
      <c r="AE26" s="9"/>
      <c r="AF26" s="9"/>
      <c r="AG26" s="9"/>
      <c r="AH26" s="9"/>
      <c r="AI26" s="9"/>
      <c r="AJ26" s="9"/>
      <c r="AK26" s="9" t="s">
        <v>198</v>
      </c>
      <c r="AL26" s="9">
        <v>1</v>
      </c>
      <c r="AM26" s="9"/>
      <c r="AN26" s="9" t="s">
        <v>149</v>
      </c>
      <c r="AO26" s="9" t="s">
        <v>150</v>
      </c>
      <c r="AP26" s="9"/>
      <c r="AQ26" s="9"/>
      <c r="AR26" s="9"/>
      <c r="AS26" s="9"/>
      <c r="AT26" s="9"/>
      <c r="AU26" s="9"/>
      <c r="AV26" s="9">
        <v>19</v>
      </c>
    </row>
    <row r="27" spans="1:48">
      <c r="A27" s="9">
        <f t="shared" si="0"/>
        <v>26</v>
      </c>
      <c r="B27" s="9" t="s">
        <v>183</v>
      </c>
      <c r="C27" s="9" t="s">
        <v>199</v>
      </c>
      <c r="D27" s="9">
        <v>1</v>
      </c>
      <c r="E27" s="9">
        <v>1</v>
      </c>
      <c r="F27" s="9" t="s">
        <v>50</v>
      </c>
      <c r="G27" s="9" t="s">
        <v>200</v>
      </c>
      <c r="H27" s="9"/>
      <c r="I27" s="9"/>
      <c r="J27" s="9"/>
      <c r="K27" s="9"/>
      <c r="L27" s="9"/>
      <c r="M27" s="9"/>
      <c r="N27" s="9" t="s">
        <v>145</v>
      </c>
      <c r="O27" s="9">
        <v>5</v>
      </c>
      <c r="P27" s="9" t="s">
        <v>58</v>
      </c>
      <c r="Q27" s="9"/>
      <c r="R27" s="9"/>
      <c r="S27" s="9"/>
      <c r="T27" s="9"/>
      <c r="U27" s="9"/>
      <c r="V27" s="9"/>
      <c r="W27" s="9"/>
      <c r="X27" s="9"/>
      <c r="Y27" s="9"/>
      <c r="Z27" s="9"/>
      <c r="AA27" s="9">
        <v>512</v>
      </c>
      <c r="AB27" s="9">
        <v>512</v>
      </c>
      <c r="AC27" s="9" t="s">
        <v>186</v>
      </c>
      <c r="AD27" s="9">
        <v>4</v>
      </c>
      <c r="AE27" s="9"/>
      <c r="AF27" s="9"/>
      <c r="AG27" s="9"/>
      <c r="AH27" s="9"/>
      <c r="AI27" s="9"/>
      <c r="AJ27" s="9"/>
      <c r="AK27" s="9" t="s">
        <v>201</v>
      </c>
      <c r="AL27" s="9">
        <v>19</v>
      </c>
      <c r="AM27" s="9"/>
      <c r="AN27" s="9" t="s">
        <v>149</v>
      </c>
      <c r="AO27" s="9" t="s">
        <v>150</v>
      </c>
      <c r="AP27" s="9"/>
      <c r="AQ27" s="9"/>
      <c r="AR27" s="9"/>
      <c r="AS27" s="9"/>
      <c r="AT27" s="9"/>
      <c r="AU27" s="9"/>
      <c r="AV27" s="9">
        <v>19</v>
      </c>
    </row>
    <row r="28" spans="1:48">
      <c r="A28" s="9">
        <f t="shared" si="0"/>
        <v>27</v>
      </c>
      <c r="B28" s="9" t="s">
        <v>202</v>
      </c>
      <c r="C28" s="9" t="s">
        <v>203</v>
      </c>
      <c r="D28" s="9">
        <v>1</v>
      </c>
      <c r="E28" s="9">
        <v>1</v>
      </c>
      <c r="F28" s="9" t="s">
        <v>72</v>
      </c>
      <c r="G28" s="9" t="s">
        <v>204</v>
      </c>
      <c r="H28" s="9"/>
      <c r="I28" s="9" t="s">
        <v>205</v>
      </c>
      <c r="J28" s="9" t="s">
        <v>53</v>
      </c>
      <c r="K28" s="9" t="s">
        <v>206</v>
      </c>
      <c r="L28" s="9" t="s">
        <v>113</v>
      </c>
      <c r="M28" s="9" t="s">
        <v>56</v>
      </c>
      <c r="N28" s="9" t="s">
        <v>207</v>
      </c>
      <c r="O28" s="9">
        <v>11</v>
      </c>
      <c r="P28" s="9" t="s">
        <v>58</v>
      </c>
      <c r="Q28" s="9">
        <v>4450</v>
      </c>
      <c r="R28" s="9">
        <v>71</v>
      </c>
      <c r="S28" s="9"/>
      <c r="T28" s="9">
        <v>150</v>
      </c>
      <c r="U28" s="9">
        <v>17</v>
      </c>
      <c r="V28" s="9">
        <v>1</v>
      </c>
      <c r="W28" s="9">
        <v>3</v>
      </c>
      <c r="X28" s="9">
        <v>120</v>
      </c>
      <c r="Y28" s="9">
        <v>63.649064</v>
      </c>
      <c r="Z28" s="9">
        <v>1.5</v>
      </c>
      <c r="AA28" s="9">
        <v>640</v>
      </c>
      <c r="AB28" s="9">
        <v>640</v>
      </c>
      <c r="AC28" s="9" t="s">
        <v>208</v>
      </c>
      <c r="AD28" s="9">
        <v>2</v>
      </c>
      <c r="AE28" s="9">
        <v>2.2</v>
      </c>
      <c r="AF28" s="9" t="s">
        <v>88</v>
      </c>
      <c r="AG28" s="9"/>
      <c r="AH28" s="9" t="s">
        <v>61</v>
      </c>
      <c r="AI28" s="9">
        <v>70</v>
      </c>
      <c r="AJ28" s="9">
        <v>100</v>
      </c>
      <c r="AK28" s="9" t="s">
        <v>209</v>
      </c>
      <c r="AL28" s="9">
        <v>16</v>
      </c>
      <c r="AM28" s="9"/>
      <c r="AN28" s="9" t="s">
        <v>210</v>
      </c>
      <c r="AO28" s="9" t="s">
        <v>211</v>
      </c>
      <c r="AP28" s="9" t="s">
        <v>212</v>
      </c>
      <c r="AQ28" s="9"/>
      <c r="AR28" s="9" t="s">
        <v>213</v>
      </c>
      <c r="AS28" s="9" t="s">
        <v>68</v>
      </c>
      <c r="AT28" s="9" t="s">
        <v>69</v>
      </c>
      <c r="AU28" s="9" t="s">
        <v>214</v>
      </c>
      <c r="AV28" s="9">
        <v>16</v>
      </c>
    </row>
    <row r="29" spans="1:48">
      <c r="A29" s="9">
        <f t="shared" si="0"/>
        <v>28</v>
      </c>
      <c r="B29" s="9" t="s">
        <v>202</v>
      </c>
      <c r="C29" s="9" t="s">
        <v>215</v>
      </c>
      <c r="D29" s="9">
        <v>1</v>
      </c>
      <c r="E29" s="9">
        <v>1</v>
      </c>
      <c r="F29" s="9" t="s">
        <v>91</v>
      </c>
      <c r="G29" s="9" t="s">
        <v>216</v>
      </c>
      <c r="H29" s="9"/>
      <c r="I29" s="9" t="s">
        <v>217</v>
      </c>
      <c r="J29" s="9" t="s">
        <v>53</v>
      </c>
      <c r="K29" s="9" t="s">
        <v>206</v>
      </c>
      <c r="L29" s="9" t="s">
        <v>113</v>
      </c>
      <c r="M29" s="9" t="s">
        <v>56</v>
      </c>
      <c r="N29" s="9" t="s">
        <v>207</v>
      </c>
      <c r="O29" s="9">
        <v>4</v>
      </c>
      <c r="P29" s="9" t="s">
        <v>58</v>
      </c>
      <c r="Q29" s="9">
        <v>4740</v>
      </c>
      <c r="R29" s="9">
        <v>61</v>
      </c>
      <c r="S29" s="9"/>
      <c r="T29" s="9">
        <v>150</v>
      </c>
      <c r="U29" s="9">
        <v>13</v>
      </c>
      <c r="V29" s="9">
        <v>1</v>
      </c>
      <c r="W29" s="9">
        <v>2</v>
      </c>
      <c r="X29" s="9">
        <v>180</v>
      </c>
      <c r="Y29" s="9">
        <v>63.649049</v>
      </c>
      <c r="Z29" s="9">
        <v>1.5</v>
      </c>
      <c r="AA29" s="9">
        <v>640</v>
      </c>
      <c r="AB29" s="9">
        <v>640</v>
      </c>
      <c r="AC29" s="9" t="s">
        <v>100</v>
      </c>
      <c r="AD29" s="9">
        <v>3</v>
      </c>
      <c r="AE29" s="9">
        <v>3.9</v>
      </c>
      <c r="AF29" s="9" t="s">
        <v>218</v>
      </c>
      <c r="AG29" s="9"/>
      <c r="AH29" s="9" t="s">
        <v>61</v>
      </c>
      <c r="AI29" s="9">
        <v>75</v>
      </c>
      <c r="AJ29" s="9">
        <v>100</v>
      </c>
      <c r="AK29" s="9" t="s">
        <v>219</v>
      </c>
      <c r="AL29" s="9">
        <v>10</v>
      </c>
      <c r="AM29" s="9"/>
      <c r="AN29" s="9" t="s">
        <v>210</v>
      </c>
      <c r="AO29" s="9" t="s">
        <v>211</v>
      </c>
      <c r="AP29" s="9" t="s">
        <v>212</v>
      </c>
      <c r="AQ29" s="9"/>
      <c r="AR29" s="9" t="s">
        <v>213</v>
      </c>
      <c r="AS29" s="9" t="s">
        <v>68</v>
      </c>
      <c r="AT29" s="9" t="s">
        <v>69</v>
      </c>
      <c r="AU29" s="9" t="s">
        <v>214</v>
      </c>
      <c r="AV29" s="9">
        <v>30</v>
      </c>
    </row>
    <row r="30" spans="1:48">
      <c r="A30" s="9">
        <f t="shared" si="0"/>
        <v>29</v>
      </c>
      <c r="B30" s="9" t="s">
        <v>202</v>
      </c>
      <c r="C30" s="9" t="s">
        <v>220</v>
      </c>
      <c r="D30" s="9">
        <v>1</v>
      </c>
      <c r="E30" s="9">
        <v>1</v>
      </c>
      <c r="F30" s="9" t="s">
        <v>72</v>
      </c>
      <c r="G30" s="9" t="s">
        <v>221</v>
      </c>
      <c r="H30" s="9"/>
      <c r="I30" s="9" t="s">
        <v>205</v>
      </c>
      <c r="J30" s="9" t="s">
        <v>53</v>
      </c>
      <c r="K30" s="9" t="s">
        <v>206</v>
      </c>
      <c r="L30" s="9" t="s">
        <v>113</v>
      </c>
      <c r="M30" s="9" t="s">
        <v>56</v>
      </c>
      <c r="N30" s="9" t="s">
        <v>207</v>
      </c>
      <c r="O30" s="9">
        <v>10</v>
      </c>
      <c r="P30" s="9" t="s">
        <v>58</v>
      </c>
      <c r="Q30" s="9">
        <v>4400</v>
      </c>
      <c r="R30" s="9">
        <v>70</v>
      </c>
      <c r="S30" s="9"/>
      <c r="T30" s="9">
        <v>150</v>
      </c>
      <c r="U30" s="9">
        <v>17</v>
      </c>
      <c r="V30" s="9">
        <v>1</v>
      </c>
      <c r="W30" s="9">
        <v>3</v>
      </c>
      <c r="X30" s="9">
        <v>120</v>
      </c>
      <c r="Y30" s="9">
        <v>63.649093</v>
      </c>
      <c r="Z30" s="9">
        <v>1.5</v>
      </c>
      <c r="AA30" s="9">
        <v>640</v>
      </c>
      <c r="AB30" s="9">
        <v>640</v>
      </c>
      <c r="AC30" s="9" t="s">
        <v>222</v>
      </c>
      <c r="AD30" s="9">
        <v>2</v>
      </c>
      <c r="AE30" s="9">
        <v>2.4</v>
      </c>
      <c r="AF30" s="9" t="s">
        <v>88</v>
      </c>
      <c r="AG30" s="9"/>
      <c r="AH30" s="9" t="s">
        <v>61</v>
      </c>
      <c r="AI30" s="9">
        <v>70</v>
      </c>
      <c r="AJ30" s="9">
        <v>100</v>
      </c>
      <c r="AK30" s="9" t="s">
        <v>223</v>
      </c>
      <c r="AL30" s="9">
        <v>8</v>
      </c>
      <c r="AM30" s="9"/>
      <c r="AN30" s="9" t="s">
        <v>210</v>
      </c>
      <c r="AO30" s="9" t="s">
        <v>211</v>
      </c>
      <c r="AP30" s="9" t="s">
        <v>212</v>
      </c>
      <c r="AQ30" s="9"/>
      <c r="AR30" s="9" t="s">
        <v>213</v>
      </c>
      <c r="AS30" s="9" t="s">
        <v>68</v>
      </c>
      <c r="AT30" s="9" t="s">
        <v>69</v>
      </c>
      <c r="AU30" s="9" t="s">
        <v>214</v>
      </c>
      <c r="AV30" s="9">
        <v>16</v>
      </c>
    </row>
    <row r="31" spans="1:48">
      <c r="A31" s="9">
        <f t="shared" si="0"/>
        <v>30</v>
      </c>
      <c r="B31" s="9" t="s">
        <v>202</v>
      </c>
      <c r="C31" s="9" t="s">
        <v>224</v>
      </c>
      <c r="D31" s="9">
        <v>0</v>
      </c>
      <c r="E31" s="9">
        <v>0</v>
      </c>
      <c r="F31" s="9" t="s">
        <v>50</v>
      </c>
      <c r="G31" s="9" t="s">
        <v>225</v>
      </c>
      <c r="H31" s="9"/>
      <c r="I31" s="9" t="s">
        <v>226</v>
      </c>
      <c r="J31" s="9" t="s">
        <v>53</v>
      </c>
      <c r="K31" s="9" t="s">
        <v>206</v>
      </c>
      <c r="L31" s="9"/>
      <c r="M31" s="9" t="s">
        <v>56</v>
      </c>
      <c r="N31" s="9" t="s">
        <v>207</v>
      </c>
      <c r="O31" s="9">
        <v>7</v>
      </c>
      <c r="P31" s="9" t="s">
        <v>58</v>
      </c>
      <c r="Q31" s="9">
        <v>6010</v>
      </c>
      <c r="R31" s="9">
        <v>71</v>
      </c>
      <c r="S31" s="9"/>
      <c r="T31" s="9">
        <v>150</v>
      </c>
      <c r="U31" s="9">
        <v>18</v>
      </c>
      <c r="V31" s="9">
        <v>1</v>
      </c>
      <c r="W31" s="9">
        <v>2</v>
      </c>
      <c r="X31" s="9">
        <v>145</v>
      </c>
      <c r="Y31" s="9">
        <v>63.649052</v>
      </c>
      <c r="Z31" s="9">
        <v>1.5</v>
      </c>
      <c r="AA31" s="9">
        <v>640</v>
      </c>
      <c r="AB31" s="9">
        <v>640</v>
      </c>
      <c r="AC31" s="9" t="s">
        <v>100</v>
      </c>
      <c r="AD31" s="9">
        <v>3</v>
      </c>
      <c r="AE31" s="9">
        <v>3.6</v>
      </c>
      <c r="AF31" s="9" t="s">
        <v>218</v>
      </c>
      <c r="AG31" s="9"/>
      <c r="AH31" s="9" t="s">
        <v>61</v>
      </c>
      <c r="AI31" s="9">
        <v>75</v>
      </c>
      <c r="AJ31" s="9">
        <v>100</v>
      </c>
      <c r="AK31" s="9" t="s">
        <v>227</v>
      </c>
      <c r="AL31" s="9">
        <v>6</v>
      </c>
      <c r="AM31" s="9"/>
      <c r="AN31" s="9" t="s">
        <v>210</v>
      </c>
      <c r="AO31" s="9" t="s">
        <v>211</v>
      </c>
      <c r="AP31" s="9" t="s">
        <v>212</v>
      </c>
      <c r="AQ31" s="9"/>
      <c r="AR31" s="9" t="s">
        <v>213</v>
      </c>
      <c r="AS31" s="9" t="s">
        <v>68</v>
      </c>
      <c r="AT31" s="9" t="s">
        <v>69</v>
      </c>
      <c r="AU31" s="9" t="s">
        <v>214</v>
      </c>
      <c r="AV31" s="9">
        <v>27</v>
      </c>
    </row>
    <row r="32" spans="1:48">
      <c r="A32" s="9">
        <f t="shared" si="0"/>
        <v>31</v>
      </c>
      <c r="B32" s="9" t="s">
        <v>202</v>
      </c>
      <c r="C32" s="9" t="s">
        <v>228</v>
      </c>
      <c r="D32" s="9">
        <v>0</v>
      </c>
      <c r="E32" s="9">
        <v>0</v>
      </c>
      <c r="F32" s="9" t="s">
        <v>50</v>
      </c>
      <c r="G32" s="9" t="s">
        <v>229</v>
      </c>
      <c r="H32" s="9"/>
      <c r="I32" s="9" t="s">
        <v>74</v>
      </c>
      <c r="J32" s="9" t="s">
        <v>53</v>
      </c>
      <c r="K32" s="9" t="s">
        <v>206</v>
      </c>
      <c r="L32" s="9"/>
      <c r="M32" s="9" t="s">
        <v>56</v>
      </c>
      <c r="N32" s="9" t="s">
        <v>207</v>
      </c>
      <c r="O32" s="9">
        <v>6</v>
      </c>
      <c r="P32" s="9" t="s">
        <v>58</v>
      </c>
      <c r="Q32" s="9">
        <v>591</v>
      </c>
      <c r="R32" s="9">
        <v>11</v>
      </c>
      <c r="S32" s="9"/>
      <c r="T32" s="9">
        <v>150</v>
      </c>
      <c r="U32" s="9">
        <v>3</v>
      </c>
      <c r="V32" s="9">
        <v>1</v>
      </c>
      <c r="W32" s="9">
        <v>2</v>
      </c>
      <c r="X32" s="9">
        <v>160</v>
      </c>
      <c r="Y32" s="9">
        <v>63.649052</v>
      </c>
      <c r="Z32" s="9">
        <v>1.5</v>
      </c>
      <c r="AA32" s="9">
        <v>320</v>
      </c>
      <c r="AB32" s="9">
        <v>320</v>
      </c>
      <c r="AC32" s="9" t="s">
        <v>83</v>
      </c>
      <c r="AD32" s="9">
        <v>3</v>
      </c>
      <c r="AE32" s="9">
        <v>3.6</v>
      </c>
      <c r="AF32" s="9" t="s">
        <v>218</v>
      </c>
      <c r="AG32" s="9"/>
      <c r="AH32" s="9" t="s">
        <v>61</v>
      </c>
      <c r="AI32" s="9">
        <v>75</v>
      </c>
      <c r="AJ32" s="9">
        <v>100</v>
      </c>
      <c r="AK32" s="9" t="s">
        <v>227</v>
      </c>
      <c r="AL32" s="9">
        <v>9</v>
      </c>
      <c r="AM32" s="9"/>
      <c r="AN32" s="9" t="s">
        <v>210</v>
      </c>
      <c r="AO32" s="9" t="s">
        <v>211</v>
      </c>
      <c r="AP32" s="9" t="s">
        <v>212</v>
      </c>
      <c r="AQ32" s="9"/>
      <c r="AR32" s="9" t="s">
        <v>213</v>
      </c>
      <c r="AS32" s="9" t="s">
        <v>68</v>
      </c>
      <c r="AT32" s="9" t="s">
        <v>69</v>
      </c>
      <c r="AU32" s="9" t="s">
        <v>214</v>
      </c>
      <c r="AV32" s="9">
        <v>27</v>
      </c>
    </row>
    <row r="33" spans="1:48">
      <c r="A33" s="9">
        <f t="shared" si="0"/>
        <v>32</v>
      </c>
      <c r="B33" s="9" t="s">
        <v>202</v>
      </c>
      <c r="C33" s="9" t="s">
        <v>230</v>
      </c>
      <c r="D33" s="9">
        <v>0</v>
      </c>
      <c r="E33" s="9">
        <v>0</v>
      </c>
      <c r="F33" s="9" t="s">
        <v>91</v>
      </c>
      <c r="G33" s="9" t="s">
        <v>231</v>
      </c>
      <c r="H33" s="9"/>
      <c r="I33" s="9" t="s">
        <v>74</v>
      </c>
      <c r="J33" s="9" t="s">
        <v>53</v>
      </c>
      <c r="K33" s="9" t="s">
        <v>206</v>
      </c>
      <c r="L33" s="9"/>
      <c r="M33" s="9" t="s">
        <v>56</v>
      </c>
      <c r="N33" s="9" t="s">
        <v>207</v>
      </c>
      <c r="O33" s="9">
        <v>3</v>
      </c>
      <c r="P33" s="9" t="s">
        <v>58</v>
      </c>
      <c r="Q33" s="9">
        <v>642</v>
      </c>
      <c r="R33" s="9">
        <v>11</v>
      </c>
      <c r="S33" s="9"/>
      <c r="T33" s="9">
        <v>150</v>
      </c>
      <c r="U33" s="9">
        <v>3</v>
      </c>
      <c r="V33" s="9">
        <v>1</v>
      </c>
      <c r="W33" s="9">
        <v>2</v>
      </c>
      <c r="X33" s="9">
        <v>145</v>
      </c>
      <c r="Y33" s="9">
        <v>63.649052</v>
      </c>
      <c r="Z33" s="9">
        <v>1.5</v>
      </c>
      <c r="AA33" s="9">
        <v>640</v>
      </c>
      <c r="AB33" s="9">
        <v>640</v>
      </c>
      <c r="AC33" s="9" t="s">
        <v>222</v>
      </c>
      <c r="AD33" s="9">
        <v>3</v>
      </c>
      <c r="AE33" s="9">
        <v>3.9</v>
      </c>
      <c r="AF33" s="9" t="s">
        <v>218</v>
      </c>
      <c r="AG33" s="9"/>
      <c r="AH33" s="9" t="s">
        <v>61</v>
      </c>
      <c r="AI33" s="9">
        <v>75</v>
      </c>
      <c r="AJ33" s="9">
        <v>100</v>
      </c>
      <c r="AK33" s="9" t="s">
        <v>219</v>
      </c>
      <c r="AL33" s="9">
        <v>14</v>
      </c>
      <c r="AM33" s="9"/>
      <c r="AN33" s="9" t="s">
        <v>210</v>
      </c>
      <c r="AO33" s="9" t="s">
        <v>211</v>
      </c>
      <c r="AP33" s="9" t="s">
        <v>212</v>
      </c>
      <c r="AQ33" s="9"/>
      <c r="AR33" s="9" t="s">
        <v>213</v>
      </c>
      <c r="AS33" s="9" t="s">
        <v>68</v>
      </c>
      <c r="AT33" s="9" t="s">
        <v>69</v>
      </c>
      <c r="AU33" s="9" t="s">
        <v>214</v>
      </c>
      <c r="AV33" s="9">
        <v>30</v>
      </c>
    </row>
    <row r="34" spans="1:48">
      <c r="A34" s="9">
        <f t="shared" si="0"/>
        <v>33</v>
      </c>
      <c r="B34" s="9" t="s">
        <v>202</v>
      </c>
      <c r="C34" s="9" t="s">
        <v>232</v>
      </c>
      <c r="D34" s="9">
        <v>0</v>
      </c>
      <c r="E34" s="9">
        <v>0</v>
      </c>
      <c r="F34" s="9" t="s">
        <v>72</v>
      </c>
      <c r="G34" s="9" t="s">
        <v>233</v>
      </c>
      <c r="H34" s="9"/>
      <c r="I34" s="9" t="s">
        <v>74</v>
      </c>
      <c r="J34" s="9" t="s">
        <v>53</v>
      </c>
      <c r="K34" s="9" t="s">
        <v>206</v>
      </c>
      <c r="L34" s="9"/>
      <c r="M34" s="9" t="s">
        <v>56</v>
      </c>
      <c r="N34" s="9" t="s">
        <v>207</v>
      </c>
      <c r="O34" s="9">
        <v>9</v>
      </c>
      <c r="P34" s="9" t="s">
        <v>58</v>
      </c>
      <c r="Q34" s="9">
        <v>612</v>
      </c>
      <c r="R34" s="9">
        <v>11</v>
      </c>
      <c r="S34" s="9"/>
      <c r="T34" s="9">
        <v>150</v>
      </c>
      <c r="U34" s="9">
        <v>3</v>
      </c>
      <c r="V34" s="9">
        <v>1</v>
      </c>
      <c r="W34" s="9">
        <v>2</v>
      </c>
      <c r="X34" s="9">
        <v>160</v>
      </c>
      <c r="Y34" s="9">
        <v>63.649052</v>
      </c>
      <c r="Z34" s="9">
        <v>1.5</v>
      </c>
      <c r="AA34" s="9">
        <v>320</v>
      </c>
      <c r="AB34" s="9">
        <v>320</v>
      </c>
      <c r="AC34" s="9" t="s">
        <v>83</v>
      </c>
      <c r="AD34" s="9">
        <v>3</v>
      </c>
      <c r="AE34" s="9">
        <v>3.6</v>
      </c>
      <c r="AF34" s="9" t="s">
        <v>234</v>
      </c>
      <c r="AG34" s="9"/>
      <c r="AH34" s="9" t="s">
        <v>77</v>
      </c>
      <c r="AI34" s="9">
        <v>80</v>
      </c>
      <c r="AJ34" s="9">
        <v>100</v>
      </c>
      <c r="AK34" s="9" t="s">
        <v>235</v>
      </c>
      <c r="AL34" s="9">
        <v>20</v>
      </c>
      <c r="AM34" s="9"/>
      <c r="AN34" s="9" t="s">
        <v>210</v>
      </c>
      <c r="AO34" s="9" t="s">
        <v>211</v>
      </c>
      <c r="AP34" s="9" t="s">
        <v>212</v>
      </c>
      <c r="AQ34" s="9"/>
      <c r="AR34" s="9" t="s">
        <v>213</v>
      </c>
      <c r="AS34" s="9" t="s">
        <v>68</v>
      </c>
      <c r="AT34" s="9" t="s">
        <v>69</v>
      </c>
      <c r="AU34" s="9" t="s">
        <v>214</v>
      </c>
      <c r="AV34" s="9">
        <v>30</v>
      </c>
    </row>
    <row r="35" spans="1:48">
      <c r="A35" s="9">
        <f t="shared" si="0"/>
        <v>34</v>
      </c>
      <c r="B35" s="9" t="s">
        <v>202</v>
      </c>
      <c r="C35" s="9" t="s">
        <v>236</v>
      </c>
      <c r="D35" s="9">
        <v>1</v>
      </c>
      <c r="E35" s="9">
        <v>1</v>
      </c>
      <c r="F35" s="9" t="s">
        <v>50</v>
      </c>
      <c r="G35" s="9" t="s">
        <v>237</v>
      </c>
      <c r="H35" s="9"/>
      <c r="I35" s="9" t="s">
        <v>238</v>
      </c>
      <c r="J35" s="9" t="s">
        <v>53</v>
      </c>
      <c r="K35" s="9" t="s">
        <v>206</v>
      </c>
      <c r="L35" s="9" t="s">
        <v>113</v>
      </c>
      <c r="M35" s="9" t="s">
        <v>56</v>
      </c>
      <c r="N35" s="9" t="s">
        <v>207</v>
      </c>
      <c r="O35" s="9">
        <v>5</v>
      </c>
      <c r="P35" s="9" t="s">
        <v>58</v>
      </c>
      <c r="Q35" s="9">
        <v>3690</v>
      </c>
      <c r="R35" s="9">
        <v>36</v>
      </c>
      <c r="S35" s="9"/>
      <c r="T35" s="9">
        <v>150</v>
      </c>
      <c r="U35" s="9">
        <v>9</v>
      </c>
      <c r="V35" s="9">
        <v>1</v>
      </c>
      <c r="W35" s="9">
        <v>2</v>
      </c>
      <c r="X35" s="9">
        <v>120</v>
      </c>
      <c r="Y35" s="9">
        <v>63.649038</v>
      </c>
      <c r="Z35" s="9">
        <v>1.5</v>
      </c>
      <c r="AA35" s="9">
        <v>640</v>
      </c>
      <c r="AB35" s="9">
        <v>640</v>
      </c>
      <c r="AC35" s="9" t="s">
        <v>100</v>
      </c>
      <c r="AD35" s="9">
        <v>3</v>
      </c>
      <c r="AE35" s="9">
        <v>3.6</v>
      </c>
      <c r="AF35" s="9" t="s">
        <v>88</v>
      </c>
      <c r="AG35" s="9"/>
      <c r="AH35" s="9" t="s">
        <v>61</v>
      </c>
      <c r="AI35" s="9">
        <v>70</v>
      </c>
      <c r="AJ35" s="9">
        <v>100</v>
      </c>
      <c r="AK35" s="9" t="s">
        <v>227</v>
      </c>
      <c r="AL35" s="9">
        <v>26</v>
      </c>
      <c r="AM35" s="9"/>
      <c r="AN35" s="9" t="s">
        <v>210</v>
      </c>
      <c r="AO35" s="9" t="s">
        <v>211</v>
      </c>
      <c r="AP35" s="9" t="s">
        <v>212</v>
      </c>
      <c r="AQ35" s="9"/>
      <c r="AR35" s="9" t="s">
        <v>213</v>
      </c>
      <c r="AS35" s="9" t="s">
        <v>68</v>
      </c>
      <c r="AT35" s="9" t="s">
        <v>69</v>
      </c>
      <c r="AU35" s="9" t="s">
        <v>214</v>
      </c>
      <c r="AV35" s="9">
        <v>27</v>
      </c>
    </row>
    <row r="36" spans="1:48">
      <c r="A36" s="9">
        <f t="shared" si="0"/>
        <v>35</v>
      </c>
      <c r="B36" s="9" t="s">
        <v>202</v>
      </c>
      <c r="C36" s="9" t="s">
        <v>239</v>
      </c>
      <c r="D36" s="9">
        <v>1</v>
      </c>
      <c r="E36" s="9">
        <v>1</v>
      </c>
      <c r="F36" s="9" t="s">
        <v>72</v>
      </c>
      <c r="G36" s="9" t="s">
        <v>240</v>
      </c>
      <c r="H36" s="9"/>
      <c r="I36" s="9" t="s">
        <v>238</v>
      </c>
      <c r="J36" s="9" t="s">
        <v>53</v>
      </c>
      <c r="K36" s="9" t="s">
        <v>206</v>
      </c>
      <c r="L36" s="9" t="s">
        <v>113</v>
      </c>
      <c r="M36" s="9" t="s">
        <v>56</v>
      </c>
      <c r="N36" s="9" t="s">
        <v>207</v>
      </c>
      <c r="O36" s="9">
        <v>8</v>
      </c>
      <c r="P36" s="9" t="s">
        <v>58</v>
      </c>
      <c r="Q36" s="9">
        <v>4100</v>
      </c>
      <c r="R36" s="9">
        <v>36</v>
      </c>
      <c r="S36" s="9"/>
      <c r="T36" s="9">
        <v>150</v>
      </c>
      <c r="U36" s="9">
        <v>9</v>
      </c>
      <c r="V36" s="9">
        <v>1</v>
      </c>
      <c r="W36" s="9">
        <v>2</v>
      </c>
      <c r="X36" s="9">
        <v>120</v>
      </c>
      <c r="Y36" s="9">
        <v>63.649069</v>
      </c>
      <c r="Z36" s="9">
        <v>1.5</v>
      </c>
      <c r="AA36" s="9">
        <v>640</v>
      </c>
      <c r="AB36" s="9">
        <v>640</v>
      </c>
      <c r="AC36" s="9" t="s">
        <v>100</v>
      </c>
      <c r="AD36" s="9">
        <v>3</v>
      </c>
      <c r="AE36" s="9">
        <v>3.6</v>
      </c>
      <c r="AF36" s="9" t="s">
        <v>241</v>
      </c>
      <c r="AG36" s="9"/>
      <c r="AH36" s="9" t="s">
        <v>77</v>
      </c>
      <c r="AI36" s="9">
        <v>75</v>
      </c>
      <c r="AJ36" s="9">
        <v>100</v>
      </c>
      <c r="AK36" s="9" t="s">
        <v>235</v>
      </c>
      <c r="AL36" s="9">
        <v>23</v>
      </c>
      <c r="AM36" s="9"/>
      <c r="AN36" s="9" t="s">
        <v>210</v>
      </c>
      <c r="AO36" s="9" t="s">
        <v>211</v>
      </c>
      <c r="AP36" s="9" t="s">
        <v>212</v>
      </c>
      <c r="AQ36" s="9"/>
      <c r="AR36" s="9" t="s">
        <v>213</v>
      </c>
      <c r="AS36" s="9" t="s">
        <v>68</v>
      </c>
      <c r="AT36" s="9" t="s">
        <v>69</v>
      </c>
      <c r="AU36" s="9" t="s">
        <v>214</v>
      </c>
      <c r="AV36" s="9">
        <v>30</v>
      </c>
    </row>
    <row r="37" spans="1:48">
      <c r="A37" s="9">
        <f t="shared" si="0"/>
        <v>36</v>
      </c>
      <c r="B37" s="9" t="s">
        <v>242</v>
      </c>
      <c r="C37" s="9" t="s">
        <v>243</v>
      </c>
      <c r="D37" s="9">
        <v>1</v>
      </c>
      <c r="E37" s="9">
        <v>1</v>
      </c>
      <c r="F37" s="9" t="s">
        <v>72</v>
      </c>
      <c r="G37" s="9" t="s">
        <v>112</v>
      </c>
      <c r="H37" s="9"/>
      <c r="I37" s="9"/>
      <c r="J37" s="9" t="s">
        <v>53</v>
      </c>
      <c r="K37" s="9" t="s">
        <v>97</v>
      </c>
      <c r="L37" s="9" t="s">
        <v>113</v>
      </c>
      <c r="M37" s="9" t="s">
        <v>56</v>
      </c>
      <c r="N37" s="9" t="s">
        <v>99</v>
      </c>
      <c r="O37" s="9">
        <v>1001</v>
      </c>
      <c r="P37" s="9" t="s">
        <v>58</v>
      </c>
      <c r="Q37" s="10">
        <v>2500.00024414062</v>
      </c>
      <c r="R37" s="9">
        <v>75</v>
      </c>
      <c r="S37" s="9"/>
      <c r="T37" s="9">
        <v>90</v>
      </c>
      <c r="U37" s="9">
        <v>18</v>
      </c>
      <c r="V37" s="9">
        <v>1</v>
      </c>
      <c r="W37" s="9">
        <v>2</v>
      </c>
      <c r="X37" s="9">
        <v>218</v>
      </c>
      <c r="Y37" s="9">
        <v>127.746912</v>
      </c>
      <c r="Z37" s="9">
        <v>3</v>
      </c>
      <c r="AA37" s="9">
        <v>480</v>
      </c>
      <c r="AB37" s="9">
        <v>480</v>
      </c>
      <c r="AC37" s="9" t="s">
        <v>114</v>
      </c>
      <c r="AD37" s="9">
        <v>2.5</v>
      </c>
      <c r="AE37" s="9">
        <v>3</v>
      </c>
      <c r="AF37" s="9" t="s">
        <v>244</v>
      </c>
      <c r="AG37" s="9"/>
      <c r="AH37" s="9" t="s">
        <v>77</v>
      </c>
      <c r="AI37" s="10">
        <v>78.2352905273437</v>
      </c>
      <c r="AJ37" s="9">
        <v>100</v>
      </c>
      <c r="AK37" s="9" t="s">
        <v>245</v>
      </c>
      <c r="AL37" s="9">
        <v>4</v>
      </c>
      <c r="AM37" s="9"/>
      <c r="AN37" s="9" t="s">
        <v>103</v>
      </c>
      <c r="AO37" s="9" t="s">
        <v>104</v>
      </c>
      <c r="AP37" s="9" t="s">
        <v>105</v>
      </c>
      <c r="AQ37" s="9" t="s">
        <v>106</v>
      </c>
      <c r="AR37" s="9"/>
      <c r="AS37" s="9" t="s">
        <v>68</v>
      </c>
      <c r="AT37" s="9" t="s">
        <v>69</v>
      </c>
      <c r="AU37" s="9" t="s">
        <v>70</v>
      </c>
      <c r="AV37" s="9">
        <v>18</v>
      </c>
    </row>
    <row r="38" spans="1:48">
      <c r="A38" s="9">
        <f t="shared" si="0"/>
        <v>37</v>
      </c>
      <c r="B38" s="9" t="s">
        <v>242</v>
      </c>
      <c r="C38" s="9" t="s">
        <v>246</v>
      </c>
      <c r="D38" s="9">
        <v>0</v>
      </c>
      <c r="E38" s="9">
        <v>0</v>
      </c>
      <c r="F38" s="9" t="s">
        <v>91</v>
      </c>
      <c r="G38" s="9" t="s">
        <v>138</v>
      </c>
      <c r="H38" s="9"/>
      <c r="I38" s="9"/>
      <c r="J38" s="9" t="s">
        <v>53</v>
      </c>
      <c r="K38" s="9" t="s">
        <v>97</v>
      </c>
      <c r="L38" s="9" t="s">
        <v>98</v>
      </c>
      <c r="M38" s="9" t="s">
        <v>56</v>
      </c>
      <c r="N38" s="9" t="s">
        <v>99</v>
      </c>
      <c r="O38" s="9">
        <v>601</v>
      </c>
      <c r="P38" s="9" t="s">
        <v>58</v>
      </c>
      <c r="Q38" s="9">
        <v>543.7490234375</v>
      </c>
      <c r="R38" s="9">
        <v>11</v>
      </c>
      <c r="S38" s="9"/>
      <c r="T38" s="9">
        <v>90</v>
      </c>
      <c r="U38" s="9">
        <v>4</v>
      </c>
      <c r="V38" s="9">
        <v>1</v>
      </c>
      <c r="W38" s="9">
        <v>1</v>
      </c>
      <c r="X38" s="9">
        <v>292</v>
      </c>
      <c r="Y38" s="9">
        <v>127.746952</v>
      </c>
      <c r="Z38" s="9">
        <v>3</v>
      </c>
      <c r="AA38" s="9">
        <v>704</v>
      </c>
      <c r="AB38" s="9">
        <v>704</v>
      </c>
      <c r="AC38" s="9" t="s">
        <v>109</v>
      </c>
      <c r="AD38" s="9">
        <v>3</v>
      </c>
      <c r="AE38" s="9">
        <v>3.3</v>
      </c>
      <c r="AF38" s="9" t="s">
        <v>139</v>
      </c>
      <c r="AG38" s="9"/>
      <c r="AH38" s="9" t="s">
        <v>77</v>
      </c>
      <c r="AI38" s="9">
        <v>87.5</v>
      </c>
      <c r="AJ38" s="9">
        <v>100</v>
      </c>
      <c r="AK38" s="9" t="s">
        <v>247</v>
      </c>
      <c r="AL38" s="9">
        <v>11</v>
      </c>
      <c r="AM38" s="9"/>
      <c r="AN38" s="9" t="s">
        <v>103</v>
      </c>
      <c r="AO38" s="9" t="s">
        <v>104</v>
      </c>
      <c r="AP38" s="9" t="s">
        <v>105</v>
      </c>
      <c r="AQ38" s="9" t="s">
        <v>106</v>
      </c>
      <c r="AR38" s="9"/>
      <c r="AS38" s="9" t="s">
        <v>68</v>
      </c>
      <c r="AT38" s="9" t="s">
        <v>69</v>
      </c>
      <c r="AU38" s="9" t="s">
        <v>70</v>
      </c>
      <c r="AV38" s="9">
        <v>40</v>
      </c>
    </row>
    <row r="39" spans="1:48">
      <c r="A39" s="9">
        <f t="shared" si="0"/>
        <v>38</v>
      </c>
      <c r="B39" s="9" t="s">
        <v>242</v>
      </c>
      <c r="C39" s="9" t="s">
        <v>248</v>
      </c>
      <c r="D39" s="9">
        <v>1</v>
      </c>
      <c r="E39" s="9">
        <v>1</v>
      </c>
      <c r="F39" s="9" t="s">
        <v>91</v>
      </c>
      <c r="G39" s="9" t="s">
        <v>134</v>
      </c>
      <c r="H39" s="9"/>
      <c r="I39" s="9"/>
      <c r="J39" s="9" t="s">
        <v>53</v>
      </c>
      <c r="K39" s="9" t="s">
        <v>97</v>
      </c>
      <c r="L39" s="9" t="s">
        <v>113</v>
      </c>
      <c r="M39" s="9" t="s">
        <v>56</v>
      </c>
      <c r="N39" s="9" t="s">
        <v>99</v>
      </c>
      <c r="O39" s="9">
        <v>501</v>
      </c>
      <c r="P39" s="9" t="s">
        <v>58</v>
      </c>
      <c r="Q39" s="10">
        <v>4021.40209960937</v>
      </c>
      <c r="R39" s="9">
        <v>83.823</v>
      </c>
      <c r="S39" s="9"/>
      <c r="T39" s="9">
        <v>90</v>
      </c>
      <c r="U39" s="9">
        <v>20</v>
      </c>
      <c r="V39" s="9">
        <v>1</v>
      </c>
      <c r="W39" s="9">
        <v>1</v>
      </c>
      <c r="X39" s="9">
        <v>250</v>
      </c>
      <c r="Y39" s="9">
        <v>127.746952</v>
      </c>
      <c r="Z39" s="9">
        <v>3</v>
      </c>
      <c r="AA39" s="9">
        <v>640</v>
      </c>
      <c r="AB39" s="9">
        <v>640</v>
      </c>
      <c r="AC39" s="9" t="s">
        <v>100</v>
      </c>
      <c r="AD39" s="9">
        <v>3</v>
      </c>
      <c r="AE39" s="9">
        <v>3.3</v>
      </c>
      <c r="AF39" s="9" t="s">
        <v>249</v>
      </c>
      <c r="AG39" s="9"/>
      <c r="AH39" s="9" t="s">
        <v>77</v>
      </c>
      <c r="AI39" s="10">
        <v>99.696044921875</v>
      </c>
      <c r="AJ39" s="9">
        <v>100</v>
      </c>
      <c r="AK39" s="9" t="s">
        <v>247</v>
      </c>
      <c r="AL39" s="9">
        <v>8</v>
      </c>
      <c r="AM39" s="9"/>
      <c r="AN39" s="9" t="s">
        <v>103</v>
      </c>
      <c r="AO39" s="9" t="s">
        <v>104</v>
      </c>
      <c r="AP39" s="9" t="s">
        <v>105</v>
      </c>
      <c r="AQ39" s="9" t="s">
        <v>106</v>
      </c>
      <c r="AR39" s="9"/>
      <c r="AS39" s="9" t="s">
        <v>68</v>
      </c>
      <c r="AT39" s="9" t="s">
        <v>69</v>
      </c>
      <c r="AU39" s="9" t="s">
        <v>70</v>
      </c>
      <c r="AV39" s="9">
        <v>40</v>
      </c>
    </row>
    <row r="40" spans="1:48">
      <c r="A40" s="9">
        <f t="shared" si="0"/>
        <v>39</v>
      </c>
      <c r="B40" s="9" t="s">
        <v>242</v>
      </c>
      <c r="C40" s="9" t="s">
        <v>250</v>
      </c>
      <c r="D40" s="9">
        <v>1</v>
      </c>
      <c r="E40" s="9">
        <v>1</v>
      </c>
      <c r="F40" s="9" t="s">
        <v>72</v>
      </c>
      <c r="G40" s="9" t="s">
        <v>123</v>
      </c>
      <c r="H40" s="9"/>
      <c r="I40" s="9"/>
      <c r="J40" s="9" t="s">
        <v>53</v>
      </c>
      <c r="K40" s="9" t="s">
        <v>97</v>
      </c>
      <c r="L40" s="9" t="s">
        <v>113</v>
      </c>
      <c r="M40" s="9" t="s">
        <v>56</v>
      </c>
      <c r="N40" s="9" t="s">
        <v>99</v>
      </c>
      <c r="O40" s="9">
        <v>801</v>
      </c>
      <c r="P40" s="9" t="s">
        <v>58</v>
      </c>
      <c r="Q40" s="10">
        <v>2500.00048828125</v>
      </c>
      <c r="R40" s="9">
        <v>30</v>
      </c>
      <c r="S40" s="9"/>
      <c r="T40" s="9">
        <v>90</v>
      </c>
      <c r="U40" s="9">
        <v>10</v>
      </c>
      <c r="V40" s="9">
        <v>1</v>
      </c>
      <c r="W40" s="9">
        <v>2</v>
      </c>
      <c r="X40" s="9">
        <v>338</v>
      </c>
      <c r="Y40" s="9">
        <v>127.746952</v>
      </c>
      <c r="Z40" s="9">
        <v>3</v>
      </c>
      <c r="AA40" s="9">
        <v>640</v>
      </c>
      <c r="AB40" s="9">
        <v>640</v>
      </c>
      <c r="AC40" s="9" t="s">
        <v>100</v>
      </c>
      <c r="AD40" s="9">
        <v>3</v>
      </c>
      <c r="AE40" s="9">
        <v>3.3</v>
      </c>
      <c r="AF40" s="9" t="s">
        <v>251</v>
      </c>
      <c r="AG40" s="9"/>
      <c r="AH40" s="9" t="s">
        <v>77</v>
      </c>
      <c r="AI40" s="10">
        <v>86.5168533325195</v>
      </c>
      <c r="AJ40" s="9">
        <v>100</v>
      </c>
      <c r="AK40" s="9" t="s">
        <v>252</v>
      </c>
      <c r="AL40" s="9">
        <v>14</v>
      </c>
      <c r="AM40" s="9"/>
      <c r="AN40" s="9" t="s">
        <v>103</v>
      </c>
      <c r="AO40" s="9" t="s">
        <v>104</v>
      </c>
      <c r="AP40" s="9" t="s">
        <v>105</v>
      </c>
      <c r="AQ40" s="9" t="s">
        <v>106</v>
      </c>
      <c r="AR40" s="9"/>
      <c r="AS40" s="9" t="s">
        <v>68</v>
      </c>
      <c r="AT40" s="9" t="s">
        <v>69</v>
      </c>
      <c r="AU40" s="9" t="s">
        <v>70</v>
      </c>
      <c r="AV40" s="9">
        <v>30</v>
      </c>
    </row>
    <row r="41" spans="1:48">
      <c r="A41" s="9">
        <f t="shared" si="0"/>
        <v>40</v>
      </c>
      <c r="B41" s="9" t="s">
        <v>242</v>
      </c>
      <c r="C41" s="9" t="s">
        <v>253</v>
      </c>
      <c r="D41" s="9">
        <v>1</v>
      </c>
      <c r="E41" s="9">
        <v>1</v>
      </c>
      <c r="F41" s="9" t="s">
        <v>50</v>
      </c>
      <c r="G41" s="9" t="s">
        <v>130</v>
      </c>
      <c r="H41" s="9"/>
      <c r="I41" s="9"/>
      <c r="J41" s="9" t="s">
        <v>53</v>
      </c>
      <c r="K41" s="9" t="s">
        <v>97</v>
      </c>
      <c r="L41" s="9" t="s">
        <v>113</v>
      </c>
      <c r="M41" s="9" t="s">
        <v>56</v>
      </c>
      <c r="N41" s="9" t="s">
        <v>99</v>
      </c>
      <c r="O41" s="9">
        <v>201</v>
      </c>
      <c r="P41" s="9" t="s">
        <v>58</v>
      </c>
      <c r="Q41" s="10">
        <v>3072.81909179687</v>
      </c>
      <c r="R41" s="9">
        <v>30</v>
      </c>
      <c r="S41" s="9"/>
      <c r="T41" s="9">
        <v>90</v>
      </c>
      <c r="U41" s="9">
        <v>12</v>
      </c>
      <c r="V41" s="9">
        <v>1</v>
      </c>
      <c r="W41" s="9">
        <v>1</v>
      </c>
      <c r="X41" s="9">
        <v>250</v>
      </c>
      <c r="Y41" s="9">
        <v>127.746888</v>
      </c>
      <c r="Z41" s="9">
        <v>3</v>
      </c>
      <c r="AA41" s="9">
        <v>800</v>
      </c>
      <c r="AB41" s="9">
        <v>800</v>
      </c>
      <c r="AC41" s="9" t="s">
        <v>131</v>
      </c>
      <c r="AD41" s="9">
        <v>3</v>
      </c>
      <c r="AE41" s="9">
        <v>3.3</v>
      </c>
      <c r="AF41" s="9" t="s">
        <v>132</v>
      </c>
      <c r="AG41" s="9"/>
      <c r="AH41" s="9" t="s">
        <v>61</v>
      </c>
      <c r="AI41" s="9">
        <v>75</v>
      </c>
      <c r="AJ41" s="9">
        <v>100</v>
      </c>
      <c r="AK41" s="9" t="s">
        <v>254</v>
      </c>
      <c r="AL41" s="9">
        <v>14</v>
      </c>
      <c r="AM41" s="9"/>
      <c r="AN41" s="9" t="s">
        <v>103</v>
      </c>
      <c r="AO41" s="9" t="s">
        <v>104</v>
      </c>
      <c r="AP41" s="9" t="s">
        <v>105</v>
      </c>
      <c r="AQ41" s="9" t="s">
        <v>106</v>
      </c>
      <c r="AR41" s="9"/>
      <c r="AS41" s="9" t="s">
        <v>68</v>
      </c>
      <c r="AT41" s="9" t="s">
        <v>69</v>
      </c>
      <c r="AU41" s="9" t="s">
        <v>70</v>
      </c>
      <c r="AV41" s="9">
        <v>29</v>
      </c>
    </row>
    <row r="42" spans="1:48">
      <c r="A42" s="9">
        <f t="shared" si="0"/>
        <v>41</v>
      </c>
      <c r="B42" s="9" t="s">
        <v>242</v>
      </c>
      <c r="C42" s="9" t="s">
        <v>255</v>
      </c>
      <c r="D42" s="9">
        <v>0</v>
      </c>
      <c r="E42" s="9">
        <v>0</v>
      </c>
      <c r="F42" s="9" t="s">
        <v>72</v>
      </c>
      <c r="G42" s="9" t="s">
        <v>256</v>
      </c>
      <c r="H42" s="9"/>
      <c r="I42" s="9"/>
      <c r="J42" s="9" t="s">
        <v>53</v>
      </c>
      <c r="K42" s="9" t="s">
        <v>97</v>
      </c>
      <c r="L42" s="9" t="s">
        <v>98</v>
      </c>
      <c r="M42" s="9" t="s">
        <v>56</v>
      </c>
      <c r="N42" s="9" t="s">
        <v>99</v>
      </c>
      <c r="O42" s="9">
        <v>701</v>
      </c>
      <c r="P42" s="9" t="s">
        <v>58</v>
      </c>
      <c r="Q42" s="10">
        <v>2500.00048828125</v>
      </c>
      <c r="R42" s="9">
        <v>80</v>
      </c>
      <c r="S42" s="9"/>
      <c r="T42" s="9">
        <v>90</v>
      </c>
      <c r="U42" s="9">
        <v>16</v>
      </c>
      <c r="V42" s="9">
        <v>1</v>
      </c>
      <c r="W42" s="9">
        <v>2</v>
      </c>
      <c r="X42" s="9">
        <v>319</v>
      </c>
      <c r="Y42" s="9">
        <v>127.746952</v>
      </c>
      <c r="Z42" s="9">
        <v>3</v>
      </c>
      <c r="AA42" s="9">
        <v>640</v>
      </c>
      <c r="AB42" s="9">
        <v>640</v>
      </c>
      <c r="AC42" s="9" t="s">
        <v>100</v>
      </c>
      <c r="AD42" s="9">
        <v>3</v>
      </c>
      <c r="AE42" s="9">
        <v>3.3</v>
      </c>
      <c r="AF42" s="9" t="s">
        <v>101</v>
      </c>
      <c r="AG42" s="9"/>
      <c r="AH42" s="9" t="s">
        <v>77</v>
      </c>
      <c r="AI42" s="10">
        <v>86.5168533325195</v>
      </c>
      <c r="AJ42" s="9">
        <v>100</v>
      </c>
      <c r="AK42" s="9" t="s">
        <v>252</v>
      </c>
      <c r="AL42" s="9">
        <v>6</v>
      </c>
      <c r="AM42" s="9"/>
      <c r="AN42" s="9" t="s">
        <v>103</v>
      </c>
      <c r="AO42" s="9" t="s">
        <v>104</v>
      </c>
      <c r="AP42" s="9" t="s">
        <v>105</v>
      </c>
      <c r="AQ42" s="9" t="s">
        <v>106</v>
      </c>
      <c r="AR42" s="9"/>
      <c r="AS42" s="9" t="s">
        <v>68</v>
      </c>
      <c r="AT42" s="9" t="s">
        <v>69</v>
      </c>
      <c r="AU42" s="9" t="s">
        <v>70</v>
      </c>
      <c r="AV42" s="9">
        <v>30</v>
      </c>
    </row>
    <row r="43" spans="1:48">
      <c r="A43" s="9">
        <f t="shared" si="0"/>
        <v>42</v>
      </c>
      <c r="B43" s="9" t="s">
        <v>242</v>
      </c>
      <c r="C43" s="9" t="s">
        <v>257</v>
      </c>
      <c r="D43" s="9">
        <v>0</v>
      </c>
      <c r="E43" s="9">
        <v>0</v>
      </c>
      <c r="F43" s="9" t="s">
        <v>50</v>
      </c>
      <c r="G43" s="9" t="s">
        <v>126</v>
      </c>
      <c r="H43" s="9"/>
      <c r="I43" s="9"/>
      <c r="J43" s="9" t="s">
        <v>53</v>
      </c>
      <c r="K43" s="9" t="s">
        <v>97</v>
      </c>
      <c r="L43" s="9" t="s">
        <v>98</v>
      </c>
      <c r="M43" s="9" t="s">
        <v>56</v>
      </c>
      <c r="N43" s="9" t="s">
        <v>99</v>
      </c>
      <c r="O43" s="9">
        <v>401</v>
      </c>
      <c r="P43" s="9" t="s">
        <v>58</v>
      </c>
      <c r="Q43" s="10">
        <v>646.807495117187</v>
      </c>
      <c r="R43" s="9">
        <v>11</v>
      </c>
      <c r="S43" s="9"/>
      <c r="T43" s="9">
        <v>90</v>
      </c>
      <c r="U43" s="9">
        <v>3</v>
      </c>
      <c r="V43" s="9">
        <v>1</v>
      </c>
      <c r="W43" s="9">
        <v>1</v>
      </c>
      <c r="X43" s="9">
        <v>313</v>
      </c>
      <c r="Y43" s="9">
        <v>127.746952</v>
      </c>
      <c r="Z43" s="9">
        <v>3</v>
      </c>
      <c r="AA43" s="9">
        <v>512</v>
      </c>
      <c r="AB43" s="9">
        <v>512</v>
      </c>
      <c r="AC43" s="9" t="s">
        <v>127</v>
      </c>
      <c r="AD43" s="9">
        <v>3</v>
      </c>
      <c r="AE43" s="9">
        <v>3.3</v>
      </c>
      <c r="AF43" s="9" t="s">
        <v>258</v>
      </c>
      <c r="AG43" s="9"/>
      <c r="AH43" s="9" t="s">
        <v>61</v>
      </c>
      <c r="AI43" s="10">
        <v>83.2653045654296</v>
      </c>
      <c r="AJ43" s="9">
        <v>100</v>
      </c>
      <c r="AK43" s="9" t="s">
        <v>254</v>
      </c>
      <c r="AL43" s="9">
        <v>4</v>
      </c>
      <c r="AM43" s="9"/>
      <c r="AN43" s="9" t="s">
        <v>103</v>
      </c>
      <c r="AO43" s="9" t="s">
        <v>104</v>
      </c>
      <c r="AP43" s="9" t="s">
        <v>105</v>
      </c>
      <c r="AQ43" s="9" t="s">
        <v>106</v>
      </c>
      <c r="AR43" s="9"/>
      <c r="AS43" s="9" t="s">
        <v>68</v>
      </c>
      <c r="AT43" s="9" t="s">
        <v>69</v>
      </c>
      <c r="AU43" s="9" t="s">
        <v>70</v>
      </c>
      <c r="AV43" s="9">
        <v>29</v>
      </c>
    </row>
    <row r="44" spans="1:48">
      <c r="A44" s="9">
        <f t="shared" si="0"/>
        <v>43</v>
      </c>
      <c r="B44" s="9" t="s">
        <v>242</v>
      </c>
      <c r="C44" s="9" t="s">
        <v>259</v>
      </c>
      <c r="D44" s="9">
        <v>0</v>
      </c>
      <c r="E44" s="9">
        <v>0</v>
      </c>
      <c r="F44" s="9" t="s">
        <v>50</v>
      </c>
      <c r="G44" s="9" t="s">
        <v>118</v>
      </c>
      <c r="H44" s="9"/>
      <c r="I44" s="9"/>
      <c r="J44" s="9" t="s">
        <v>53</v>
      </c>
      <c r="K44" s="9" t="s">
        <v>97</v>
      </c>
      <c r="L44" s="9" t="s">
        <v>98</v>
      </c>
      <c r="M44" s="9" t="s">
        <v>56</v>
      </c>
      <c r="N44" s="9" t="s">
        <v>99</v>
      </c>
      <c r="O44" s="9">
        <v>301</v>
      </c>
      <c r="P44" s="9" t="s">
        <v>58</v>
      </c>
      <c r="Q44" s="9">
        <v>3000</v>
      </c>
      <c r="R44" s="9">
        <v>80</v>
      </c>
      <c r="S44" s="9"/>
      <c r="T44" s="9">
        <v>90</v>
      </c>
      <c r="U44" s="9">
        <v>14</v>
      </c>
      <c r="V44" s="9">
        <v>1</v>
      </c>
      <c r="W44" s="9">
        <v>1</v>
      </c>
      <c r="X44" s="9">
        <v>311</v>
      </c>
      <c r="Y44" s="9">
        <v>127.746952</v>
      </c>
      <c r="Z44" s="9">
        <v>3</v>
      </c>
      <c r="AA44" s="9">
        <v>432</v>
      </c>
      <c r="AB44" s="9">
        <v>432</v>
      </c>
      <c r="AC44" s="9" t="s">
        <v>119</v>
      </c>
      <c r="AD44" s="9">
        <v>3</v>
      </c>
      <c r="AE44" s="9">
        <v>3.3</v>
      </c>
      <c r="AF44" s="9" t="s">
        <v>260</v>
      </c>
      <c r="AG44" s="9"/>
      <c r="AH44" s="9" t="s">
        <v>61</v>
      </c>
      <c r="AI44" s="10">
        <v>81.8014678955078</v>
      </c>
      <c r="AJ44" s="9">
        <v>100</v>
      </c>
      <c r="AK44" s="9" t="s">
        <v>254</v>
      </c>
      <c r="AL44" s="9">
        <v>23</v>
      </c>
      <c r="AM44" s="9"/>
      <c r="AN44" s="9" t="s">
        <v>103</v>
      </c>
      <c r="AO44" s="9" t="s">
        <v>104</v>
      </c>
      <c r="AP44" s="9" t="s">
        <v>105</v>
      </c>
      <c r="AQ44" s="9" t="s">
        <v>106</v>
      </c>
      <c r="AR44" s="9"/>
      <c r="AS44" s="9" t="s">
        <v>68</v>
      </c>
      <c r="AT44" s="9" t="s">
        <v>69</v>
      </c>
      <c r="AU44" s="9" t="s">
        <v>70</v>
      </c>
      <c r="AV44" s="9">
        <v>29</v>
      </c>
    </row>
    <row r="45" spans="1:48">
      <c r="A45" s="9">
        <f t="shared" si="0"/>
        <v>44</v>
      </c>
      <c r="B45" s="9" t="s">
        <v>242</v>
      </c>
      <c r="C45" s="9" t="s">
        <v>261</v>
      </c>
      <c r="D45" s="9">
        <v>0</v>
      </c>
      <c r="E45" s="9">
        <v>0</v>
      </c>
      <c r="F45" s="9" t="s">
        <v>72</v>
      </c>
      <c r="G45" s="9" t="s">
        <v>108</v>
      </c>
      <c r="H45" s="9"/>
      <c r="I45" s="9"/>
      <c r="J45" s="9" t="s">
        <v>53</v>
      </c>
      <c r="K45" s="9" t="s">
        <v>97</v>
      </c>
      <c r="L45" s="9" t="s">
        <v>98</v>
      </c>
      <c r="M45" s="9" t="s">
        <v>56</v>
      </c>
      <c r="N45" s="9" t="s">
        <v>99</v>
      </c>
      <c r="O45" s="9">
        <v>901</v>
      </c>
      <c r="P45" s="9" t="s">
        <v>58</v>
      </c>
      <c r="Q45" s="10">
        <v>519.12451171875</v>
      </c>
      <c r="R45" s="9">
        <v>10</v>
      </c>
      <c r="S45" s="9"/>
      <c r="T45" s="9">
        <v>90</v>
      </c>
      <c r="U45" s="9">
        <v>3</v>
      </c>
      <c r="V45" s="9">
        <v>1</v>
      </c>
      <c r="W45" s="9">
        <v>2</v>
      </c>
      <c r="X45" s="9">
        <v>362</v>
      </c>
      <c r="Y45" s="9">
        <v>127.746952</v>
      </c>
      <c r="Z45" s="9">
        <v>3</v>
      </c>
      <c r="AA45" s="9">
        <v>704</v>
      </c>
      <c r="AB45" s="9">
        <v>704</v>
      </c>
      <c r="AC45" s="9" t="s">
        <v>109</v>
      </c>
      <c r="AD45" s="9">
        <v>3</v>
      </c>
      <c r="AE45" s="9">
        <v>3.3</v>
      </c>
      <c r="AF45" s="9" t="s">
        <v>262</v>
      </c>
      <c r="AG45" s="9"/>
      <c r="AH45" s="9" t="s">
        <v>77</v>
      </c>
      <c r="AI45" s="10">
        <v>88.2022476196289</v>
      </c>
      <c r="AJ45" s="9">
        <v>100</v>
      </c>
      <c r="AK45" s="9" t="s">
        <v>252</v>
      </c>
      <c r="AL45" s="9">
        <v>17</v>
      </c>
      <c r="AM45" s="9"/>
      <c r="AN45" s="9" t="s">
        <v>103</v>
      </c>
      <c r="AO45" s="9" t="s">
        <v>104</v>
      </c>
      <c r="AP45" s="9" t="s">
        <v>105</v>
      </c>
      <c r="AQ45" s="9" t="s">
        <v>106</v>
      </c>
      <c r="AR45" s="9"/>
      <c r="AS45" s="9" t="s">
        <v>68</v>
      </c>
      <c r="AT45" s="9" t="s">
        <v>69</v>
      </c>
      <c r="AU45" s="9" t="s">
        <v>70</v>
      </c>
      <c r="AV45" s="9">
        <v>30</v>
      </c>
    </row>
    <row r="46" spans="1:48">
      <c r="A46" s="9">
        <f t="shared" si="0"/>
        <v>45</v>
      </c>
      <c r="B46" s="9" t="s">
        <v>263</v>
      </c>
      <c r="C46" s="9" t="s">
        <v>264</v>
      </c>
      <c r="D46" s="9">
        <v>0</v>
      </c>
      <c r="E46" s="9">
        <v>0</v>
      </c>
      <c r="F46" s="9" t="s">
        <v>72</v>
      </c>
      <c r="G46" s="9" t="s">
        <v>265</v>
      </c>
      <c r="H46" s="9"/>
      <c r="I46" s="9" t="s">
        <v>266</v>
      </c>
      <c r="J46" s="9" t="s">
        <v>53</v>
      </c>
      <c r="K46" s="9" t="s">
        <v>267</v>
      </c>
      <c r="L46" s="9" t="s">
        <v>268</v>
      </c>
      <c r="M46" s="9" t="s">
        <v>56</v>
      </c>
      <c r="N46" s="9" t="s">
        <v>269</v>
      </c>
      <c r="O46" s="9">
        <v>7</v>
      </c>
      <c r="P46" s="9" t="s">
        <v>58</v>
      </c>
      <c r="Q46" s="9">
        <v>555</v>
      </c>
      <c r="R46" s="9">
        <v>12</v>
      </c>
      <c r="S46" s="9"/>
      <c r="T46" s="9">
        <v>90</v>
      </c>
      <c r="U46" s="9">
        <v>1</v>
      </c>
      <c r="V46" s="9">
        <v>1</v>
      </c>
      <c r="W46" s="9">
        <v>1</v>
      </c>
      <c r="X46" s="9">
        <v>250</v>
      </c>
      <c r="Y46" s="9">
        <v>123.203238</v>
      </c>
      <c r="Z46" s="9">
        <v>3</v>
      </c>
      <c r="AA46" s="9">
        <v>384</v>
      </c>
      <c r="AB46" s="9">
        <v>384</v>
      </c>
      <c r="AC46" s="9" t="s">
        <v>270</v>
      </c>
      <c r="AD46" s="9">
        <v>3</v>
      </c>
      <c r="AE46" s="9">
        <v>3.3</v>
      </c>
      <c r="AF46" s="9" t="s">
        <v>271</v>
      </c>
      <c r="AG46" s="9"/>
      <c r="AH46" s="9" t="s">
        <v>77</v>
      </c>
      <c r="AI46" s="9">
        <v>70</v>
      </c>
      <c r="AJ46" s="9">
        <v>100</v>
      </c>
      <c r="AK46" s="9" t="s">
        <v>272</v>
      </c>
      <c r="AL46" s="9">
        <v>10</v>
      </c>
      <c r="AM46" s="9"/>
      <c r="AN46" s="9" t="s">
        <v>210</v>
      </c>
      <c r="AO46" s="9" t="s">
        <v>273</v>
      </c>
      <c r="AP46" s="9" t="s">
        <v>212</v>
      </c>
      <c r="AQ46" s="9"/>
      <c r="AR46" s="9" t="s">
        <v>274</v>
      </c>
      <c r="AS46" s="9" t="s">
        <v>68</v>
      </c>
      <c r="AT46" s="9" t="s">
        <v>69</v>
      </c>
      <c r="AU46" s="9" t="s">
        <v>70</v>
      </c>
      <c r="AV46" s="9">
        <v>34</v>
      </c>
    </row>
    <row r="47" spans="1:48">
      <c r="A47" s="9">
        <f t="shared" si="0"/>
        <v>46</v>
      </c>
      <c r="B47" s="9" t="s">
        <v>263</v>
      </c>
      <c r="C47" s="9" t="s">
        <v>275</v>
      </c>
      <c r="D47" s="9">
        <v>1</v>
      </c>
      <c r="E47" s="9">
        <v>1</v>
      </c>
      <c r="F47" s="9" t="s">
        <v>91</v>
      </c>
      <c r="G47" s="9" t="s">
        <v>276</v>
      </c>
      <c r="H47" s="9"/>
      <c r="I47" s="9" t="s">
        <v>277</v>
      </c>
      <c r="J47" s="9" t="s">
        <v>53</v>
      </c>
      <c r="K47" s="9" t="s">
        <v>206</v>
      </c>
      <c r="L47" s="9" t="s">
        <v>113</v>
      </c>
      <c r="M47" s="9" t="s">
        <v>56</v>
      </c>
      <c r="N47" s="9" t="s">
        <v>207</v>
      </c>
      <c r="O47" s="9">
        <v>5</v>
      </c>
      <c r="P47" s="9" t="s">
        <v>58</v>
      </c>
      <c r="Q47" s="9">
        <v>3110</v>
      </c>
      <c r="R47" s="9">
        <v>20</v>
      </c>
      <c r="S47" s="9"/>
      <c r="T47" s="9">
        <v>150</v>
      </c>
      <c r="U47" s="9">
        <v>6</v>
      </c>
      <c r="V47" s="9">
        <v>1</v>
      </c>
      <c r="W47" s="9">
        <v>2</v>
      </c>
      <c r="X47" s="9">
        <v>255</v>
      </c>
      <c r="Y47" s="9">
        <v>123.203292</v>
      </c>
      <c r="Z47" s="9">
        <v>3</v>
      </c>
      <c r="AA47" s="9">
        <v>640</v>
      </c>
      <c r="AB47" s="9">
        <v>640</v>
      </c>
      <c r="AC47" s="9" t="s">
        <v>100</v>
      </c>
      <c r="AD47" s="9">
        <v>3.5</v>
      </c>
      <c r="AE47" s="9">
        <v>4.55</v>
      </c>
      <c r="AF47" s="9" t="s">
        <v>84</v>
      </c>
      <c r="AG47" s="9"/>
      <c r="AH47" s="9" t="s">
        <v>77</v>
      </c>
      <c r="AI47" s="9">
        <v>70</v>
      </c>
      <c r="AJ47" s="9">
        <v>100</v>
      </c>
      <c r="AK47" s="9" t="s">
        <v>278</v>
      </c>
      <c r="AL47" s="9">
        <v>14</v>
      </c>
      <c r="AM47" s="9"/>
      <c r="AN47" s="9" t="s">
        <v>210</v>
      </c>
      <c r="AO47" s="9" t="s">
        <v>273</v>
      </c>
      <c r="AP47" s="9" t="s">
        <v>212</v>
      </c>
      <c r="AQ47" s="9"/>
      <c r="AR47" s="9" t="s">
        <v>274</v>
      </c>
      <c r="AS47" s="9" t="s">
        <v>68</v>
      </c>
      <c r="AT47" s="9" t="s">
        <v>69</v>
      </c>
      <c r="AU47" s="9" t="s">
        <v>70</v>
      </c>
      <c r="AV47" s="9">
        <v>34</v>
      </c>
    </row>
    <row r="48" spans="1:48">
      <c r="A48" s="9">
        <f t="shared" si="0"/>
        <v>47</v>
      </c>
      <c r="B48" s="9" t="s">
        <v>263</v>
      </c>
      <c r="C48" s="9" t="s">
        <v>279</v>
      </c>
      <c r="D48" s="9">
        <v>0</v>
      </c>
      <c r="E48" s="9">
        <v>0</v>
      </c>
      <c r="F48" s="9" t="s">
        <v>72</v>
      </c>
      <c r="G48" s="9" t="s">
        <v>280</v>
      </c>
      <c r="H48" s="9"/>
      <c r="I48" s="9" t="s">
        <v>52</v>
      </c>
      <c r="J48" s="9" t="s">
        <v>53</v>
      </c>
      <c r="K48" s="9" t="s">
        <v>206</v>
      </c>
      <c r="L48" s="9" t="s">
        <v>268</v>
      </c>
      <c r="M48" s="9" t="s">
        <v>56</v>
      </c>
      <c r="N48" s="9" t="s">
        <v>207</v>
      </c>
      <c r="O48" s="9">
        <v>10</v>
      </c>
      <c r="P48" s="9" t="s">
        <v>58</v>
      </c>
      <c r="Q48" s="9">
        <v>3000</v>
      </c>
      <c r="R48" s="9">
        <v>75</v>
      </c>
      <c r="S48" s="9"/>
      <c r="T48" s="9">
        <v>140</v>
      </c>
      <c r="U48" s="9">
        <v>13</v>
      </c>
      <c r="V48" s="9">
        <v>1</v>
      </c>
      <c r="W48" s="9">
        <v>1</v>
      </c>
      <c r="X48" s="9">
        <v>240</v>
      </c>
      <c r="Y48" s="9">
        <v>123.203238</v>
      </c>
      <c r="Z48" s="9">
        <v>3</v>
      </c>
      <c r="AA48" s="9">
        <v>320</v>
      </c>
      <c r="AB48" s="9">
        <v>320</v>
      </c>
      <c r="AC48" s="9" t="s">
        <v>281</v>
      </c>
      <c r="AD48" s="9">
        <v>2</v>
      </c>
      <c r="AE48" s="9">
        <v>2.2</v>
      </c>
      <c r="AF48" s="9" t="s">
        <v>234</v>
      </c>
      <c r="AG48" s="9"/>
      <c r="AH48" s="9" t="s">
        <v>77</v>
      </c>
      <c r="AI48" s="9">
        <v>80</v>
      </c>
      <c r="AJ48" s="9">
        <v>100</v>
      </c>
      <c r="AK48" s="9" t="s">
        <v>282</v>
      </c>
      <c r="AL48" s="9">
        <v>11</v>
      </c>
      <c r="AM48" s="9"/>
      <c r="AN48" s="9" t="s">
        <v>210</v>
      </c>
      <c r="AO48" s="9" t="s">
        <v>273</v>
      </c>
      <c r="AP48" s="9" t="s">
        <v>212</v>
      </c>
      <c r="AQ48" s="9"/>
      <c r="AR48" s="9" t="s">
        <v>274</v>
      </c>
      <c r="AS48" s="9" t="s">
        <v>68</v>
      </c>
      <c r="AT48" s="9" t="s">
        <v>69</v>
      </c>
      <c r="AU48" s="9" t="s">
        <v>70</v>
      </c>
      <c r="AV48" s="9">
        <v>16</v>
      </c>
    </row>
    <row r="49" spans="1:48">
      <c r="A49" s="9">
        <f t="shared" si="0"/>
        <v>48</v>
      </c>
      <c r="B49" s="9" t="s">
        <v>263</v>
      </c>
      <c r="C49" s="9" t="s">
        <v>283</v>
      </c>
      <c r="D49" s="9">
        <v>0</v>
      </c>
      <c r="E49" s="9">
        <v>0</v>
      </c>
      <c r="F49" s="9" t="s">
        <v>50</v>
      </c>
      <c r="G49" s="9" t="s">
        <v>284</v>
      </c>
      <c r="H49" s="9"/>
      <c r="I49" s="9" t="s">
        <v>285</v>
      </c>
      <c r="J49" s="9" t="s">
        <v>53</v>
      </c>
      <c r="K49" s="9" t="s">
        <v>206</v>
      </c>
      <c r="L49" s="9"/>
      <c r="M49" s="9" t="s">
        <v>56</v>
      </c>
      <c r="N49" s="9" t="s">
        <v>207</v>
      </c>
      <c r="O49" s="9">
        <v>8</v>
      </c>
      <c r="P49" s="9" t="s">
        <v>58</v>
      </c>
      <c r="Q49" s="9">
        <v>2550</v>
      </c>
      <c r="R49" s="9">
        <v>82</v>
      </c>
      <c r="S49" s="9"/>
      <c r="T49" s="9">
        <v>150</v>
      </c>
      <c r="U49" s="9">
        <v>14</v>
      </c>
      <c r="V49" s="9">
        <v>1</v>
      </c>
      <c r="W49" s="9">
        <v>2</v>
      </c>
      <c r="X49" s="9">
        <v>215</v>
      </c>
      <c r="Y49" s="9">
        <v>123.203238</v>
      </c>
      <c r="Z49" s="9">
        <v>3</v>
      </c>
      <c r="AA49" s="9">
        <v>384</v>
      </c>
      <c r="AB49" s="9">
        <v>384</v>
      </c>
      <c r="AC49" s="9" t="s">
        <v>270</v>
      </c>
      <c r="AD49" s="9">
        <v>2.5</v>
      </c>
      <c r="AE49" s="9">
        <v>3</v>
      </c>
      <c r="AF49" s="9" t="s">
        <v>271</v>
      </c>
      <c r="AG49" s="9"/>
      <c r="AH49" s="9" t="s">
        <v>77</v>
      </c>
      <c r="AI49" s="9">
        <v>70</v>
      </c>
      <c r="AJ49" s="9">
        <v>100</v>
      </c>
      <c r="AK49" s="9" t="s">
        <v>286</v>
      </c>
      <c r="AL49" s="9">
        <v>24</v>
      </c>
      <c r="AM49" s="9"/>
      <c r="AN49" s="9" t="s">
        <v>210</v>
      </c>
      <c r="AO49" s="9" t="s">
        <v>273</v>
      </c>
      <c r="AP49" s="9" t="s">
        <v>212</v>
      </c>
      <c r="AQ49" s="9"/>
      <c r="AR49" s="9" t="s">
        <v>274</v>
      </c>
      <c r="AS49" s="9" t="s">
        <v>68</v>
      </c>
      <c r="AT49" s="9" t="s">
        <v>69</v>
      </c>
      <c r="AU49" s="9" t="s">
        <v>70</v>
      </c>
      <c r="AV49" s="9">
        <v>36</v>
      </c>
    </row>
    <row r="50" spans="1:48">
      <c r="A50" s="9">
        <f t="shared" si="0"/>
        <v>49</v>
      </c>
      <c r="B50" s="9" t="s">
        <v>263</v>
      </c>
      <c r="C50" s="9" t="s">
        <v>287</v>
      </c>
      <c r="D50" s="9">
        <v>1</v>
      </c>
      <c r="E50" s="9">
        <v>1</v>
      </c>
      <c r="F50" s="9" t="s">
        <v>50</v>
      </c>
      <c r="G50" s="9" t="s">
        <v>288</v>
      </c>
      <c r="H50" s="9"/>
      <c r="I50" s="9" t="s">
        <v>289</v>
      </c>
      <c r="J50" s="9" t="s">
        <v>53</v>
      </c>
      <c r="K50" s="9" t="s">
        <v>206</v>
      </c>
      <c r="L50" s="9" t="s">
        <v>113</v>
      </c>
      <c r="M50" s="9" t="s">
        <v>56</v>
      </c>
      <c r="N50" s="9" t="s">
        <v>207</v>
      </c>
      <c r="O50" s="9">
        <v>9</v>
      </c>
      <c r="P50" s="9" t="s">
        <v>58</v>
      </c>
      <c r="Q50" s="9">
        <v>2880</v>
      </c>
      <c r="R50" s="9">
        <v>22</v>
      </c>
      <c r="S50" s="9"/>
      <c r="T50" s="9">
        <v>150</v>
      </c>
      <c r="U50" s="9">
        <v>5</v>
      </c>
      <c r="V50" s="9">
        <v>1</v>
      </c>
      <c r="W50" s="9">
        <v>2</v>
      </c>
      <c r="X50" s="9">
        <v>255</v>
      </c>
      <c r="Y50" s="9">
        <v>123.203325</v>
      </c>
      <c r="Z50" s="9">
        <v>3</v>
      </c>
      <c r="AA50" s="9">
        <v>640</v>
      </c>
      <c r="AB50" s="9">
        <v>640</v>
      </c>
      <c r="AC50" s="9" t="s">
        <v>100</v>
      </c>
      <c r="AD50" s="9">
        <v>2.5</v>
      </c>
      <c r="AE50" s="9">
        <v>3</v>
      </c>
      <c r="AF50" s="9" t="s">
        <v>84</v>
      </c>
      <c r="AG50" s="9"/>
      <c r="AH50" s="9" t="s">
        <v>77</v>
      </c>
      <c r="AI50" s="9">
        <v>70</v>
      </c>
      <c r="AJ50" s="9">
        <v>100</v>
      </c>
      <c r="AK50" s="9" t="s">
        <v>290</v>
      </c>
      <c r="AL50" s="9">
        <v>32</v>
      </c>
      <c r="AM50" s="9"/>
      <c r="AN50" s="9" t="s">
        <v>210</v>
      </c>
      <c r="AO50" s="9" t="s">
        <v>273</v>
      </c>
      <c r="AP50" s="9" t="s">
        <v>212</v>
      </c>
      <c r="AQ50" s="9"/>
      <c r="AR50" s="9" t="s">
        <v>274</v>
      </c>
      <c r="AS50" s="9" t="s">
        <v>68</v>
      </c>
      <c r="AT50" s="9" t="s">
        <v>69</v>
      </c>
      <c r="AU50" s="9" t="s">
        <v>70</v>
      </c>
      <c r="AV50" s="9">
        <v>36</v>
      </c>
    </row>
    <row r="51" spans="1:48">
      <c r="A51" s="9">
        <f t="shared" si="0"/>
        <v>50</v>
      </c>
      <c r="B51" s="9" t="s">
        <v>263</v>
      </c>
      <c r="C51" s="9" t="s">
        <v>291</v>
      </c>
      <c r="D51" s="9">
        <v>1</v>
      </c>
      <c r="E51" s="9">
        <v>1</v>
      </c>
      <c r="F51" s="9" t="s">
        <v>72</v>
      </c>
      <c r="G51" s="9" t="s">
        <v>292</v>
      </c>
      <c r="H51" s="9"/>
      <c r="I51" s="9" t="s">
        <v>293</v>
      </c>
      <c r="J51" s="9" t="s">
        <v>53</v>
      </c>
      <c r="K51" s="9" t="s">
        <v>206</v>
      </c>
      <c r="L51" s="9" t="s">
        <v>113</v>
      </c>
      <c r="M51" s="9" t="s">
        <v>56</v>
      </c>
      <c r="N51" s="9" t="s">
        <v>207</v>
      </c>
      <c r="O51" s="9">
        <v>6</v>
      </c>
      <c r="P51" s="9" t="s">
        <v>58</v>
      </c>
      <c r="Q51" s="9">
        <v>2870</v>
      </c>
      <c r="R51" s="9">
        <v>20</v>
      </c>
      <c r="S51" s="9"/>
      <c r="T51" s="9">
        <v>150</v>
      </c>
      <c r="U51" s="9">
        <v>6</v>
      </c>
      <c r="V51" s="9">
        <v>1</v>
      </c>
      <c r="W51" s="9">
        <v>2</v>
      </c>
      <c r="X51" s="9">
        <v>255</v>
      </c>
      <c r="Y51" s="9">
        <v>123.203322</v>
      </c>
      <c r="Z51" s="9">
        <v>3</v>
      </c>
      <c r="AA51" s="9">
        <v>320</v>
      </c>
      <c r="AB51" s="9">
        <v>320</v>
      </c>
      <c r="AC51" s="9" t="s">
        <v>83</v>
      </c>
      <c r="AD51" s="9">
        <v>3</v>
      </c>
      <c r="AE51" s="9">
        <v>3.3</v>
      </c>
      <c r="AF51" s="9" t="s">
        <v>84</v>
      </c>
      <c r="AG51" s="9"/>
      <c r="AH51" s="9" t="s">
        <v>77</v>
      </c>
      <c r="AI51" s="9">
        <v>70</v>
      </c>
      <c r="AJ51" s="9">
        <v>100</v>
      </c>
      <c r="AK51" s="9" t="s">
        <v>272</v>
      </c>
      <c r="AL51" s="9">
        <v>17</v>
      </c>
      <c r="AM51" s="9"/>
      <c r="AN51" s="9" t="s">
        <v>210</v>
      </c>
      <c r="AO51" s="9" t="s">
        <v>273</v>
      </c>
      <c r="AP51" s="9" t="s">
        <v>212</v>
      </c>
      <c r="AQ51" s="9"/>
      <c r="AR51" s="9" t="s">
        <v>274</v>
      </c>
      <c r="AS51" s="9" t="s">
        <v>68</v>
      </c>
      <c r="AT51" s="9" t="s">
        <v>69</v>
      </c>
      <c r="AU51" s="9" t="s">
        <v>70</v>
      </c>
      <c r="AV51" s="9">
        <v>34</v>
      </c>
    </row>
    <row r="52" spans="1:48">
      <c r="A52" s="9">
        <f t="shared" si="0"/>
        <v>51</v>
      </c>
      <c r="B52" s="9" t="s">
        <v>294</v>
      </c>
      <c r="C52" s="9" t="s">
        <v>295</v>
      </c>
      <c r="D52" s="9">
        <v>1</v>
      </c>
      <c r="E52" s="9">
        <v>1</v>
      </c>
      <c r="F52" s="9" t="s">
        <v>50</v>
      </c>
      <c r="G52" s="9" t="s">
        <v>296</v>
      </c>
      <c r="H52" s="9"/>
      <c r="I52" s="9"/>
      <c r="J52" s="9"/>
      <c r="K52" s="9"/>
      <c r="L52" s="9"/>
      <c r="M52" s="9"/>
      <c r="N52" s="9" t="s">
        <v>297</v>
      </c>
      <c r="O52" s="9">
        <v>3001</v>
      </c>
      <c r="P52" s="9" t="s">
        <v>58</v>
      </c>
      <c r="Q52" s="9"/>
      <c r="R52" s="9"/>
      <c r="S52" s="9"/>
      <c r="T52" s="9"/>
      <c r="U52" s="9"/>
      <c r="V52" s="9"/>
      <c r="W52" s="9"/>
      <c r="X52" s="9"/>
      <c r="Y52" s="9"/>
      <c r="Z52" s="9"/>
      <c r="AA52" s="9">
        <v>640</v>
      </c>
      <c r="AB52" s="9">
        <v>640</v>
      </c>
      <c r="AC52" s="9" t="s">
        <v>298</v>
      </c>
      <c r="AD52" s="9">
        <v>3.5</v>
      </c>
      <c r="AE52" s="9"/>
      <c r="AF52" s="9"/>
      <c r="AG52" s="9"/>
      <c r="AH52" s="9"/>
      <c r="AI52" s="9"/>
      <c r="AJ52" s="9"/>
      <c r="AK52" s="9" t="s">
        <v>299</v>
      </c>
      <c r="AL52" s="9">
        <v>4</v>
      </c>
      <c r="AM52" s="9"/>
      <c r="AN52" s="9" t="s">
        <v>300</v>
      </c>
      <c r="AO52" s="9" t="s">
        <v>301</v>
      </c>
      <c r="AP52" s="9"/>
      <c r="AQ52" s="9"/>
      <c r="AR52" s="9"/>
      <c r="AS52" s="9" t="s">
        <v>302</v>
      </c>
      <c r="AT52" s="9"/>
      <c r="AU52" s="9"/>
      <c r="AV52" s="9">
        <v>24</v>
      </c>
    </row>
    <row r="53" spans="1:48">
      <c r="A53" s="9">
        <f t="shared" si="0"/>
        <v>52</v>
      </c>
      <c r="B53" s="9" t="s">
        <v>294</v>
      </c>
      <c r="C53" s="9" t="s">
        <v>303</v>
      </c>
      <c r="D53" s="9">
        <v>0</v>
      </c>
      <c r="E53" s="9">
        <v>0</v>
      </c>
      <c r="F53" s="9" t="s">
        <v>50</v>
      </c>
      <c r="G53" s="9" t="s">
        <v>304</v>
      </c>
      <c r="H53" s="9"/>
      <c r="I53" s="9"/>
      <c r="J53" s="9"/>
      <c r="K53" s="9"/>
      <c r="L53" s="9"/>
      <c r="M53" s="9"/>
      <c r="N53" s="9" t="s">
        <v>297</v>
      </c>
      <c r="O53" s="9">
        <v>5001</v>
      </c>
      <c r="P53" s="9" t="s">
        <v>58</v>
      </c>
      <c r="Q53" s="9"/>
      <c r="R53" s="9"/>
      <c r="S53" s="9"/>
      <c r="T53" s="9"/>
      <c r="U53" s="9"/>
      <c r="V53" s="9"/>
      <c r="W53" s="9"/>
      <c r="X53" s="9"/>
      <c r="Y53" s="9"/>
      <c r="Z53" s="9"/>
      <c r="AA53" s="9">
        <v>672</v>
      </c>
      <c r="AB53" s="9">
        <v>672</v>
      </c>
      <c r="AC53" s="9" t="s">
        <v>305</v>
      </c>
      <c r="AD53" s="9">
        <v>3.5</v>
      </c>
      <c r="AE53" s="9"/>
      <c r="AF53" s="9"/>
      <c r="AG53" s="9"/>
      <c r="AH53" s="9"/>
      <c r="AI53" s="9"/>
      <c r="AJ53" s="9"/>
      <c r="AK53" s="9" t="s">
        <v>299</v>
      </c>
      <c r="AL53" s="9">
        <v>6</v>
      </c>
      <c r="AM53" s="9"/>
      <c r="AN53" s="9" t="s">
        <v>300</v>
      </c>
      <c r="AO53" s="9" t="s">
        <v>301</v>
      </c>
      <c r="AP53" s="9"/>
      <c r="AQ53" s="9"/>
      <c r="AR53" s="9"/>
      <c r="AS53" s="9" t="s">
        <v>302</v>
      </c>
      <c r="AT53" s="9"/>
      <c r="AU53" s="9"/>
      <c r="AV53" s="9">
        <v>24</v>
      </c>
    </row>
    <row r="54" spans="1:48">
      <c r="A54" s="9">
        <f t="shared" si="0"/>
        <v>53</v>
      </c>
      <c r="B54" s="9" t="s">
        <v>294</v>
      </c>
      <c r="C54" s="9" t="s">
        <v>306</v>
      </c>
      <c r="D54" s="9">
        <v>1</v>
      </c>
      <c r="E54" s="9">
        <v>1</v>
      </c>
      <c r="F54" s="9" t="s">
        <v>50</v>
      </c>
      <c r="G54" s="9" t="s">
        <v>307</v>
      </c>
      <c r="H54" s="9"/>
      <c r="I54" s="9"/>
      <c r="J54" s="9"/>
      <c r="K54" s="9"/>
      <c r="L54" s="9"/>
      <c r="M54" s="9"/>
      <c r="N54" s="9" t="s">
        <v>297</v>
      </c>
      <c r="O54" s="9">
        <v>4001</v>
      </c>
      <c r="P54" s="9" t="s">
        <v>58</v>
      </c>
      <c r="Q54" s="9"/>
      <c r="R54" s="9"/>
      <c r="S54" s="9"/>
      <c r="T54" s="9"/>
      <c r="U54" s="9"/>
      <c r="V54" s="9"/>
      <c r="W54" s="9"/>
      <c r="X54" s="9"/>
      <c r="Y54" s="9"/>
      <c r="Z54" s="9"/>
      <c r="AA54" s="9">
        <v>512</v>
      </c>
      <c r="AB54" s="9">
        <v>512</v>
      </c>
      <c r="AC54" s="9" t="s">
        <v>308</v>
      </c>
      <c r="AD54" s="9">
        <v>3.5</v>
      </c>
      <c r="AE54" s="9"/>
      <c r="AF54" s="9"/>
      <c r="AG54" s="9"/>
      <c r="AH54" s="9"/>
      <c r="AI54" s="9"/>
      <c r="AJ54" s="9"/>
      <c r="AK54" s="9" t="s">
        <v>299</v>
      </c>
      <c r="AL54" s="9">
        <v>22</v>
      </c>
      <c r="AM54" s="9"/>
      <c r="AN54" s="9" t="s">
        <v>300</v>
      </c>
      <c r="AO54" s="9" t="s">
        <v>301</v>
      </c>
      <c r="AP54" s="9"/>
      <c r="AQ54" s="9"/>
      <c r="AR54" s="9"/>
      <c r="AS54" s="9" t="s">
        <v>302</v>
      </c>
      <c r="AT54" s="9"/>
      <c r="AU54" s="9"/>
      <c r="AV54" s="9">
        <v>24</v>
      </c>
    </row>
    <row r="55" spans="1:48">
      <c r="A55" s="9">
        <f t="shared" si="0"/>
        <v>54</v>
      </c>
      <c r="B55" s="9" t="s">
        <v>294</v>
      </c>
      <c r="C55" s="9" t="s">
        <v>309</v>
      </c>
      <c r="D55" s="9">
        <v>1</v>
      </c>
      <c r="E55" s="9">
        <v>1</v>
      </c>
      <c r="F55" s="9" t="s">
        <v>91</v>
      </c>
      <c r="G55" s="9" t="s">
        <v>310</v>
      </c>
      <c r="H55" s="9"/>
      <c r="I55" s="9"/>
      <c r="J55" s="9"/>
      <c r="K55" s="9"/>
      <c r="L55" s="9"/>
      <c r="M55" s="9"/>
      <c r="N55" s="9" t="s">
        <v>297</v>
      </c>
      <c r="O55" s="9">
        <v>7001</v>
      </c>
      <c r="P55" s="9" t="s">
        <v>58</v>
      </c>
      <c r="Q55" s="9"/>
      <c r="R55" s="9"/>
      <c r="S55" s="9"/>
      <c r="T55" s="9"/>
      <c r="U55" s="9"/>
      <c r="V55" s="9"/>
      <c r="W55" s="9"/>
      <c r="X55" s="9"/>
      <c r="Y55" s="9"/>
      <c r="Z55" s="9"/>
      <c r="AA55" s="9">
        <v>544</v>
      </c>
      <c r="AB55" s="9">
        <v>512</v>
      </c>
      <c r="AC55" s="9" t="s">
        <v>311</v>
      </c>
      <c r="AD55" s="9">
        <v>4</v>
      </c>
      <c r="AE55" s="9"/>
      <c r="AF55" s="9"/>
      <c r="AG55" s="9"/>
      <c r="AH55" s="9"/>
      <c r="AI55" s="9"/>
      <c r="AJ55" s="9"/>
      <c r="AK55" s="9" t="s">
        <v>312</v>
      </c>
      <c r="AL55" s="9">
        <v>1</v>
      </c>
      <c r="AM55" s="9"/>
      <c r="AN55" s="9" t="s">
        <v>300</v>
      </c>
      <c r="AO55" s="9" t="s">
        <v>301</v>
      </c>
      <c r="AP55" s="9"/>
      <c r="AQ55" s="9"/>
      <c r="AR55" s="9"/>
      <c r="AS55" s="9" t="s">
        <v>302</v>
      </c>
      <c r="AT55" s="9"/>
      <c r="AU55" s="9"/>
      <c r="AV55" s="9">
        <v>24</v>
      </c>
    </row>
    <row r="56" spans="1:48">
      <c r="A56" s="9">
        <f t="shared" si="0"/>
        <v>55</v>
      </c>
      <c r="B56" s="9" t="s">
        <v>294</v>
      </c>
      <c r="C56" s="9" t="s">
        <v>313</v>
      </c>
      <c r="D56" s="9">
        <v>1</v>
      </c>
      <c r="E56" s="9">
        <v>1</v>
      </c>
      <c r="F56" s="9" t="s">
        <v>72</v>
      </c>
      <c r="G56" s="9" t="s">
        <v>314</v>
      </c>
      <c r="H56" s="9"/>
      <c r="I56" s="9"/>
      <c r="J56" s="9"/>
      <c r="K56" s="9"/>
      <c r="L56" s="9"/>
      <c r="M56" s="9"/>
      <c r="N56" s="9" t="s">
        <v>297</v>
      </c>
      <c r="O56" s="9">
        <v>6001</v>
      </c>
      <c r="P56" s="9" t="s">
        <v>58</v>
      </c>
      <c r="Q56" s="9"/>
      <c r="R56" s="9"/>
      <c r="S56" s="9"/>
      <c r="T56" s="9"/>
      <c r="U56" s="9"/>
      <c r="V56" s="9"/>
      <c r="W56" s="9"/>
      <c r="X56" s="9"/>
      <c r="Y56" s="9"/>
      <c r="Z56" s="9"/>
      <c r="AA56" s="9">
        <v>512</v>
      </c>
      <c r="AB56" s="9">
        <v>512</v>
      </c>
      <c r="AC56" s="9" t="s">
        <v>308</v>
      </c>
      <c r="AD56" s="9">
        <v>3.5</v>
      </c>
      <c r="AE56" s="9"/>
      <c r="AF56" s="9"/>
      <c r="AG56" s="9"/>
      <c r="AH56" s="9"/>
      <c r="AI56" s="9"/>
      <c r="AJ56" s="9"/>
      <c r="AK56" s="9" t="s">
        <v>315</v>
      </c>
      <c r="AL56" s="9">
        <v>1</v>
      </c>
      <c r="AM56" s="9"/>
      <c r="AN56" s="9" t="s">
        <v>300</v>
      </c>
      <c r="AO56" s="9" t="s">
        <v>301</v>
      </c>
      <c r="AP56" s="9"/>
      <c r="AQ56" s="9"/>
      <c r="AR56" s="9"/>
      <c r="AS56" s="9" t="s">
        <v>302</v>
      </c>
      <c r="AT56" s="9"/>
      <c r="AU56" s="9"/>
      <c r="AV56" s="9">
        <v>26</v>
      </c>
    </row>
    <row r="57" spans="1:48">
      <c r="A57" s="9">
        <f t="shared" si="0"/>
        <v>56</v>
      </c>
      <c r="B57" s="9" t="s">
        <v>316</v>
      </c>
      <c r="C57" s="9" t="s">
        <v>317</v>
      </c>
      <c r="D57" s="9">
        <v>0</v>
      </c>
      <c r="E57" s="9">
        <v>0</v>
      </c>
      <c r="F57" s="9" t="s">
        <v>72</v>
      </c>
      <c r="G57" s="9" t="s">
        <v>318</v>
      </c>
      <c r="H57" s="9"/>
      <c r="I57" s="9" t="s">
        <v>319</v>
      </c>
      <c r="J57" s="9" t="s">
        <v>53</v>
      </c>
      <c r="K57" s="9" t="s">
        <v>206</v>
      </c>
      <c r="L57" s="9"/>
      <c r="M57" s="9" t="s">
        <v>56</v>
      </c>
      <c r="N57" s="9" t="s">
        <v>269</v>
      </c>
      <c r="O57" s="9">
        <v>10</v>
      </c>
      <c r="P57" s="9" t="s">
        <v>58</v>
      </c>
      <c r="Q57" s="9">
        <v>820</v>
      </c>
      <c r="R57" s="9">
        <v>10</v>
      </c>
      <c r="S57" s="9"/>
      <c r="T57" s="9">
        <v>140</v>
      </c>
      <c r="U57" s="9">
        <v>3</v>
      </c>
      <c r="V57" s="9">
        <v>1</v>
      </c>
      <c r="W57" s="9">
        <v>1</v>
      </c>
      <c r="X57" s="9">
        <v>160</v>
      </c>
      <c r="Y57" s="9">
        <v>123.196224</v>
      </c>
      <c r="Z57" s="9">
        <v>3</v>
      </c>
      <c r="AA57" s="9">
        <v>256</v>
      </c>
      <c r="AB57" s="9">
        <v>256</v>
      </c>
      <c r="AC57" s="9" t="s">
        <v>320</v>
      </c>
      <c r="AD57" s="9">
        <v>3</v>
      </c>
      <c r="AE57" s="9">
        <v>3.48</v>
      </c>
      <c r="AF57" s="9" t="s">
        <v>161</v>
      </c>
      <c r="AG57" s="9"/>
      <c r="AH57" s="9" t="s">
        <v>61</v>
      </c>
      <c r="AI57" s="9">
        <v>75</v>
      </c>
      <c r="AJ57" s="9">
        <v>100</v>
      </c>
      <c r="AK57" s="9" t="s">
        <v>321</v>
      </c>
      <c r="AL57" s="9">
        <v>39</v>
      </c>
      <c r="AM57" s="9"/>
      <c r="AN57" s="9" t="s">
        <v>210</v>
      </c>
      <c r="AO57" s="9" t="s">
        <v>322</v>
      </c>
      <c r="AP57" s="9" t="s">
        <v>212</v>
      </c>
      <c r="AQ57" s="9"/>
      <c r="AR57" s="9" t="s">
        <v>213</v>
      </c>
      <c r="AS57" s="9" t="s">
        <v>68</v>
      </c>
      <c r="AT57" s="9" t="s">
        <v>69</v>
      </c>
      <c r="AU57" s="9" t="s">
        <v>70</v>
      </c>
      <c r="AV57" s="9">
        <v>42</v>
      </c>
    </row>
    <row r="58" spans="1:48">
      <c r="A58" s="9">
        <f t="shared" si="0"/>
        <v>57</v>
      </c>
      <c r="B58" s="9" t="s">
        <v>316</v>
      </c>
      <c r="C58" s="9" t="s">
        <v>323</v>
      </c>
      <c r="D58" s="9">
        <v>1</v>
      </c>
      <c r="E58" s="9">
        <v>1</v>
      </c>
      <c r="F58" s="9" t="s">
        <v>91</v>
      </c>
      <c r="G58" s="9" t="s">
        <v>193</v>
      </c>
      <c r="H58" s="9"/>
      <c r="I58" s="9" t="s">
        <v>324</v>
      </c>
      <c r="J58" s="9" t="s">
        <v>53</v>
      </c>
      <c r="K58" s="9" t="s">
        <v>206</v>
      </c>
      <c r="L58" s="9" t="s">
        <v>113</v>
      </c>
      <c r="M58" s="9" t="s">
        <v>56</v>
      </c>
      <c r="N58" s="9" t="s">
        <v>269</v>
      </c>
      <c r="O58" s="9">
        <v>6</v>
      </c>
      <c r="P58" s="9" t="s">
        <v>58</v>
      </c>
      <c r="Q58" s="9">
        <v>5460</v>
      </c>
      <c r="R58" s="9">
        <v>88</v>
      </c>
      <c r="S58" s="9"/>
      <c r="T58" s="9">
        <v>150</v>
      </c>
      <c r="U58" s="9">
        <v>20</v>
      </c>
      <c r="V58" s="9">
        <v>1</v>
      </c>
      <c r="W58" s="9">
        <v>2</v>
      </c>
      <c r="X58" s="9">
        <v>160</v>
      </c>
      <c r="Y58" s="9">
        <v>123.196215</v>
      </c>
      <c r="Z58" s="9">
        <v>3</v>
      </c>
      <c r="AA58" s="9">
        <v>256</v>
      </c>
      <c r="AB58" s="9">
        <v>256</v>
      </c>
      <c r="AC58" s="9" t="s">
        <v>320</v>
      </c>
      <c r="AD58" s="9">
        <v>3</v>
      </c>
      <c r="AE58" s="9">
        <v>3.51</v>
      </c>
      <c r="AF58" s="9" t="s">
        <v>325</v>
      </c>
      <c r="AG58" s="9"/>
      <c r="AH58" s="9" t="s">
        <v>77</v>
      </c>
      <c r="AI58" s="9">
        <v>100</v>
      </c>
      <c r="AJ58" s="9">
        <v>100</v>
      </c>
      <c r="AK58" s="9" t="s">
        <v>326</v>
      </c>
      <c r="AL58" s="9">
        <v>10</v>
      </c>
      <c r="AM58" s="9"/>
      <c r="AN58" s="9" t="s">
        <v>210</v>
      </c>
      <c r="AO58" s="9" t="s">
        <v>322</v>
      </c>
      <c r="AP58" s="9" t="s">
        <v>212</v>
      </c>
      <c r="AQ58" s="9"/>
      <c r="AR58" s="9" t="s">
        <v>213</v>
      </c>
      <c r="AS58" s="9" t="s">
        <v>68</v>
      </c>
      <c r="AT58" s="9" t="s">
        <v>69</v>
      </c>
      <c r="AU58" s="9" t="s">
        <v>70</v>
      </c>
      <c r="AV58" s="9">
        <v>40</v>
      </c>
    </row>
    <row r="59" spans="1:48">
      <c r="A59" s="9">
        <f t="shared" si="0"/>
        <v>58</v>
      </c>
      <c r="B59" s="9" t="s">
        <v>316</v>
      </c>
      <c r="C59" s="9" t="s">
        <v>327</v>
      </c>
      <c r="D59" s="9">
        <v>1</v>
      </c>
      <c r="E59" s="9">
        <v>1</v>
      </c>
      <c r="F59" s="9" t="s">
        <v>50</v>
      </c>
      <c r="G59" s="9" t="s">
        <v>328</v>
      </c>
      <c r="H59" s="9"/>
      <c r="I59" s="9" t="s">
        <v>329</v>
      </c>
      <c r="J59" s="9" t="s">
        <v>53</v>
      </c>
      <c r="K59" s="9" t="s">
        <v>206</v>
      </c>
      <c r="L59" s="9" t="s">
        <v>113</v>
      </c>
      <c r="M59" s="9" t="s">
        <v>56</v>
      </c>
      <c r="N59" s="9" t="s">
        <v>269</v>
      </c>
      <c r="O59" s="9">
        <v>8</v>
      </c>
      <c r="P59" s="9" t="s">
        <v>58</v>
      </c>
      <c r="Q59" s="9">
        <v>7130</v>
      </c>
      <c r="R59" s="9">
        <v>70</v>
      </c>
      <c r="S59" s="9"/>
      <c r="T59" s="9">
        <v>150</v>
      </c>
      <c r="U59" s="9">
        <v>16</v>
      </c>
      <c r="V59" s="9">
        <v>1</v>
      </c>
      <c r="W59" s="9">
        <v>2</v>
      </c>
      <c r="X59" s="9">
        <v>160</v>
      </c>
      <c r="Y59" s="9">
        <v>123.196229</v>
      </c>
      <c r="Z59" s="9">
        <v>3</v>
      </c>
      <c r="AA59" s="9">
        <v>256</v>
      </c>
      <c r="AB59" s="9">
        <v>256</v>
      </c>
      <c r="AC59" s="9" t="s">
        <v>320</v>
      </c>
      <c r="AD59" s="9">
        <v>4</v>
      </c>
      <c r="AE59" s="9">
        <v>4.52</v>
      </c>
      <c r="AF59" s="9" t="s">
        <v>330</v>
      </c>
      <c r="AG59" s="9"/>
      <c r="AH59" s="9" t="s">
        <v>61</v>
      </c>
      <c r="AI59" s="9">
        <v>100</v>
      </c>
      <c r="AJ59" s="9">
        <v>100</v>
      </c>
      <c r="AK59" s="9" t="s">
        <v>331</v>
      </c>
      <c r="AL59" s="9">
        <v>25</v>
      </c>
      <c r="AM59" s="9"/>
      <c r="AN59" s="9" t="s">
        <v>210</v>
      </c>
      <c r="AO59" s="9" t="s">
        <v>322</v>
      </c>
      <c r="AP59" s="9" t="s">
        <v>212</v>
      </c>
      <c r="AQ59" s="9"/>
      <c r="AR59" s="9" t="s">
        <v>213</v>
      </c>
      <c r="AS59" s="9" t="s">
        <v>68</v>
      </c>
      <c r="AT59" s="9" t="s">
        <v>69</v>
      </c>
      <c r="AU59" s="9" t="s">
        <v>70</v>
      </c>
      <c r="AV59" s="9">
        <v>34</v>
      </c>
    </row>
    <row r="60" spans="1:48">
      <c r="A60" s="9">
        <f t="shared" si="0"/>
        <v>59</v>
      </c>
      <c r="B60" s="9" t="s">
        <v>316</v>
      </c>
      <c r="C60" s="9" t="s">
        <v>332</v>
      </c>
      <c r="D60" s="9">
        <v>0</v>
      </c>
      <c r="E60" s="9">
        <v>0</v>
      </c>
      <c r="F60" s="9" t="s">
        <v>50</v>
      </c>
      <c r="G60" s="9" t="s">
        <v>333</v>
      </c>
      <c r="H60" s="9"/>
      <c r="I60" s="9" t="s">
        <v>334</v>
      </c>
      <c r="J60" s="9" t="s">
        <v>53</v>
      </c>
      <c r="K60" s="9" t="s">
        <v>206</v>
      </c>
      <c r="L60" s="9"/>
      <c r="M60" s="9" t="s">
        <v>56</v>
      </c>
      <c r="N60" s="9" t="s">
        <v>269</v>
      </c>
      <c r="O60" s="9">
        <v>7</v>
      </c>
      <c r="P60" s="9" t="s">
        <v>58</v>
      </c>
      <c r="Q60" s="9">
        <v>2000</v>
      </c>
      <c r="R60" s="9">
        <v>22</v>
      </c>
      <c r="S60" s="9"/>
      <c r="T60" s="9">
        <v>150</v>
      </c>
      <c r="U60" s="9">
        <v>6</v>
      </c>
      <c r="V60" s="9">
        <v>1</v>
      </c>
      <c r="W60" s="9">
        <v>2</v>
      </c>
      <c r="X60" s="9">
        <v>160</v>
      </c>
      <c r="Y60" s="9">
        <v>123.196224</v>
      </c>
      <c r="Z60" s="9">
        <v>3</v>
      </c>
      <c r="AA60" s="9">
        <v>320</v>
      </c>
      <c r="AB60" s="9">
        <v>320</v>
      </c>
      <c r="AC60" s="9" t="s">
        <v>335</v>
      </c>
      <c r="AD60" s="9">
        <v>4</v>
      </c>
      <c r="AE60" s="9">
        <v>4.52</v>
      </c>
      <c r="AF60" s="9" t="s">
        <v>336</v>
      </c>
      <c r="AG60" s="9"/>
      <c r="AH60" s="9" t="s">
        <v>61</v>
      </c>
      <c r="AI60" s="9">
        <v>80</v>
      </c>
      <c r="AJ60" s="9">
        <v>100</v>
      </c>
      <c r="AK60" s="9" t="s">
        <v>331</v>
      </c>
      <c r="AL60" s="9">
        <v>5</v>
      </c>
      <c r="AM60" s="9"/>
      <c r="AN60" s="9" t="s">
        <v>210</v>
      </c>
      <c r="AO60" s="9" t="s">
        <v>322</v>
      </c>
      <c r="AP60" s="9" t="s">
        <v>212</v>
      </c>
      <c r="AQ60" s="9"/>
      <c r="AR60" s="9" t="s">
        <v>213</v>
      </c>
      <c r="AS60" s="9" t="s">
        <v>68</v>
      </c>
      <c r="AT60" s="9" t="s">
        <v>69</v>
      </c>
      <c r="AU60" s="9" t="s">
        <v>70</v>
      </c>
      <c r="AV60" s="9">
        <v>34</v>
      </c>
    </row>
    <row r="61" spans="1:48">
      <c r="A61" s="9">
        <f t="shared" si="0"/>
        <v>60</v>
      </c>
      <c r="B61" s="9" t="s">
        <v>316</v>
      </c>
      <c r="C61" s="9" t="s">
        <v>337</v>
      </c>
      <c r="D61" s="9">
        <v>1</v>
      </c>
      <c r="E61" s="9">
        <v>1</v>
      </c>
      <c r="F61" s="9" t="s">
        <v>72</v>
      </c>
      <c r="G61" s="9" t="s">
        <v>338</v>
      </c>
      <c r="H61" s="9"/>
      <c r="I61" s="9" t="s">
        <v>329</v>
      </c>
      <c r="J61" s="9" t="s">
        <v>53</v>
      </c>
      <c r="K61" s="9" t="s">
        <v>206</v>
      </c>
      <c r="L61" s="9" t="s">
        <v>113</v>
      </c>
      <c r="M61" s="9" t="s">
        <v>56</v>
      </c>
      <c r="N61" s="9" t="s">
        <v>269</v>
      </c>
      <c r="O61" s="9">
        <v>9</v>
      </c>
      <c r="P61" s="9" t="s">
        <v>58</v>
      </c>
      <c r="Q61" s="9">
        <v>4410</v>
      </c>
      <c r="R61" s="9">
        <v>70</v>
      </c>
      <c r="S61" s="9"/>
      <c r="T61" s="9">
        <v>150</v>
      </c>
      <c r="U61" s="9">
        <v>16</v>
      </c>
      <c r="V61" s="9">
        <v>1</v>
      </c>
      <c r="W61" s="9">
        <v>2</v>
      </c>
      <c r="X61" s="9">
        <v>160</v>
      </c>
      <c r="Y61" s="9">
        <v>123.196234</v>
      </c>
      <c r="Z61" s="9">
        <v>3</v>
      </c>
      <c r="AA61" s="9">
        <v>256</v>
      </c>
      <c r="AB61" s="9">
        <v>256</v>
      </c>
      <c r="AC61" s="9" t="s">
        <v>320</v>
      </c>
      <c r="AD61" s="9">
        <v>3</v>
      </c>
      <c r="AE61" s="9">
        <v>3.48</v>
      </c>
      <c r="AF61" s="9" t="s">
        <v>330</v>
      </c>
      <c r="AG61" s="9"/>
      <c r="AH61" s="9" t="s">
        <v>61</v>
      </c>
      <c r="AI61" s="9">
        <v>100</v>
      </c>
      <c r="AJ61" s="9">
        <v>100</v>
      </c>
      <c r="AK61" s="9" t="s">
        <v>321</v>
      </c>
      <c r="AL61" s="9">
        <v>10</v>
      </c>
      <c r="AM61" s="9"/>
      <c r="AN61" s="9" t="s">
        <v>210</v>
      </c>
      <c r="AO61" s="9" t="s">
        <v>322</v>
      </c>
      <c r="AP61" s="9" t="s">
        <v>212</v>
      </c>
      <c r="AQ61" s="9"/>
      <c r="AR61" s="9" t="s">
        <v>213</v>
      </c>
      <c r="AS61" s="9" t="s">
        <v>68</v>
      </c>
      <c r="AT61" s="9" t="s">
        <v>69</v>
      </c>
      <c r="AU61" s="9" t="s">
        <v>70</v>
      </c>
      <c r="AV61" s="9">
        <v>42</v>
      </c>
    </row>
    <row r="62" spans="1:48">
      <c r="A62" s="9">
        <f t="shared" si="0"/>
        <v>61</v>
      </c>
      <c r="B62" s="9" t="s">
        <v>339</v>
      </c>
      <c r="C62" s="9" t="s">
        <v>340</v>
      </c>
      <c r="D62" s="9">
        <v>1</v>
      </c>
      <c r="E62" s="9">
        <v>1</v>
      </c>
      <c r="F62" s="9" t="s">
        <v>72</v>
      </c>
      <c r="G62" s="9" t="s">
        <v>341</v>
      </c>
      <c r="H62" s="9"/>
      <c r="I62" s="9" t="s">
        <v>342</v>
      </c>
      <c r="J62" s="9" t="s">
        <v>53</v>
      </c>
      <c r="K62" s="9" t="s">
        <v>54</v>
      </c>
      <c r="L62" s="9" t="s">
        <v>343</v>
      </c>
      <c r="M62" s="9" t="s">
        <v>56</v>
      </c>
      <c r="N62" s="9" t="s">
        <v>344</v>
      </c>
      <c r="O62" s="9">
        <v>4</v>
      </c>
      <c r="P62" s="9" t="s">
        <v>58</v>
      </c>
      <c r="Q62" s="9">
        <v>2710</v>
      </c>
      <c r="R62" s="9">
        <v>47</v>
      </c>
      <c r="S62" s="9"/>
      <c r="T62" s="9">
        <v>150</v>
      </c>
      <c r="U62" s="9">
        <v>9</v>
      </c>
      <c r="V62" s="9">
        <v>1</v>
      </c>
      <c r="W62" s="9">
        <v>2</v>
      </c>
      <c r="X62" s="9">
        <v>150</v>
      </c>
      <c r="Y62" s="9">
        <v>63.67984</v>
      </c>
      <c r="Z62" s="9">
        <v>1.5</v>
      </c>
      <c r="AA62" s="9">
        <v>384</v>
      </c>
      <c r="AB62" s="9">
        <v>384</v>
      </c>
      <c r="AC62" s="9" t="s">
        <v>345</v>
      </c>
      <c r="AD62" s="9">
        <v>3</v>
      </c>
      <c r="AE62" s="9">
        <v>3.3</v>
      </c>
      <c r="AF62" s="9" t="s">
        <v>346</v>
      </c>
      <c r="AG62" s="9"/>
      <c r="AH62" s="9" t="s">
        <v>77</v>
      </c>
      <c r="AI62" s="9">
        <v>75</v>
      </c>
      <c r="AJ62" s="9">
        <v>100</v>
      </c>
      <c r="AK62" s="9" t="s">
        <v>347</v>
      </c>
      <c r="AL62" s="9">
        <v>18</v>
      </c>
      <c r="AM62" s="9"/>
      <c r="AN62" s="9" t="s">
        <v>63</v>
      </c>
      <c r="AO62" s="9" t="s">
        <v>348</v>
      </c>
      <c r="AP62" s="9" t="s">
        <v>349</v>
      </c>
      <c r="AQ62" s="9" t="s">
        <v>274</v>
      </c>
      <c r="AR62" s="9" t="s">
        <v>274</v>
      </c>
      <c r="AS62" s="9" t="s">
        <v>68</v>
      </c>
      <c r="AT62" s="9" t="s">
        <v>69</v>
      </c>
      <c r="AU62" s="9" t="s">
        <v>70</v>
      </c>
      <c r="AV62" s="9">
        <v>39</v>
      </c>
    </row>
    <row r="63" spans="1:48">
      <c r="A63" s="9">
        <f t="shared" si="0"/>
        <v>62</v>
      </c>
      <c r="B63" s="9" t="s">
        <v>339</v>
      </c>
      <c r="C63" s="9" t="s">
        <v>350</v>
      </c>
      <c r="D63" s="9">
        <v>1</v>
      </c>
      <c r="E63" s="9">
        <v>1</v>
      </c>
      <c r="F63" s="9" t="s">
        <v>91</v>
      </c>
      <c r="G63" s="9" t="s">
        <v>351</v>
      </c>
      <c r="H63" s="9"/>
      <c r="I63" s="9" t="s">
        <v>352</v>
      </c>
      <c r="J63" s="9" t="s">
        <v>53</v>
      </c>
      <c r="K63" s="9" t="s">
        <v>54</v>
      </c>
      <c r="L63" s="9" t="s">
        <v>343</v>
      </c>
      <c r="M63" s="9" t="s">
        <v>56</v>
      </c>
      <c r="N63" s="9" t="s">
        <v>344</v>
      </c>
      <c r="O63" s="9">
        <v>3</v>
      </c>
      <c r="P63" s="9" t="s">
        <v>58</v>
      </c>
      <c r="Q63" s="9">
        <v>2360</v>
      </c>
      <c r="R63" s="9">
        <v>46</v>
      </c>
      <c r="S63" s="9"/>
      <c r="T63" s="9">
        <v>150</v>
      </c>
      <c r="U63" s="9">
        <v>15</v>
      </c>
      <c r="V63" s="9">
        <v>1</v>
      </c>
      <c r="W63" s="9">
        <v>2</v>
      </c>
      <c r="X63" s="9">
        <v>181</v>
      </c>
      <c r="Y63" s="9">
        <v>63.679825</v>
      </c>
      <c r="Z63" s="9">
        <v>1.5</v>
      </c>
      <c r="AA63" s="9">
        <v>384</v>
      </c>
      <c r="AB63" s="9">
        <v>384</v>
      </c>
      <c r="AC63" s="9" t="s">
        <v>345</v>
      </c>
      <c r="AD63" s="9">
        <v>3</v>
      </c>
      <c r="AE63" s="9">
        <v>3.3</v>
      </c>
      <c r="AF63" s="9" t="s">
        <v>346</v>
      </c>
      <c r="AG63" s="9"/>
      <c r="AH63" s="9" t="s">
        <v>77</v>
      </c>
      <c r="AI63" s="9">
        <v>75</v>
      </c>
      <c r="AJ63" s="9">
        <v>100</v>
      </c>
      <c r="AK63" s="9" t="s">
        <v>353</v>
      </c>
      <c r="AL63" s="9">
        <v>3</v>
      </c>
      <c r="AM63" s="9"/>
      <c r="AN63" s="9" t="s">
        <v>63</v>
      </c>
      <c r="AO63" s="9" t="s">
        <v>348</v>
      </c>
      <c r="AP63" s="9" t="s">
        <v>349</v>
      </c>
      <c r="AQ63" s="9" t="s">
        <v>274</v>
      </c>
      <c r="AR63" s="9" t="s">
        <v>274</v>
      </c>
      <c r="AS63" s="9" t="s">
        <v>68</v>
      </c>
      <c r="AT63" s="9" t="s">
        <v>69</v>
      </c>
      <c r="AU63" s="9" t="s">
        <v>70</v>
      </c>
      <c r="AV63" s="9">
        <v>40</v>
      </c>
    </row>
    <row r="64" spans="1:48">
      <c r="A64" s="9">
        <f t="shared" si="0"/>
        <v>63</v>
      </c>
      <c r="B64" s="9" t="s">
        <v>339</v>
      </c>
      <c r="C64" s="9" t="s">
        <v>354</v>
      </c>
      <c r="D64" s="9">
        <v>0</v>
      </c>
      <c r="E64" s="9">
        <v>0</v>
      </c>
      <c r="F64" s="9" t="s">
        <v>50</v>
      </c>
      <c r="G64" s="9" t="s">
        <v>355</v>
      </c>
      <c r="H64" s="9"/>
      <c r="I64" s="9" t="s">
        <v>342</v>
      </c>
      <c r="J64" s="9" t="s">
        <v>53</v>
      </c>
      <c r="K64" s="9" t="s">
        <v>54</v>
      </c>
      <c r="L64" s="9" t="s">
        <v>356</v>
      </c>
      <c r="M64" s="9" t="s">
        <v>56</v>
      </c>
      <c r="N64" s="9" t="s">
        <v>344</v>
      </c>
      <c r="O64" s="9">
        <v>6</v>
      </c>
      <c r="P64" s="9" t="s">
        <v>58</v>
      </c>
      <c r="Q64" s="9">
        <v>2320</v>
      </c>
      <c r="R64" s="9">
        <v>38</v>
      </c>
      <c r="S64" s="9"/>
      <c r="T64" s="9">
        <v>180</v>
      </c>
      <c r="U64" s="9">
        <v>9</v>
      </c>
      <c r="V64" s="9">
        <v>1</v>
      </c>
      <c r="W64" s="9">
        <v>1</v>
      </c>
      <c r="X64" s="9">
        <v>150</v>
      </c>
      <c r="Y64" s="9">
        <v>63.679848</v>
      </c>
      <c r="Z64" s="9">
        <v>1.5</v>
      </c>
      <c r="AA64" s="9">
        <v>384</v>
      </c>
      <c r="AB64" s="9">
        <v>384</v>
      </c>
      <c r="AC64" s="9" t="s">
        <v>345</v>
      </c>
      <c r="AD64" s="9">
        <v>3</v>
      </c>
      <c r="AE64" s="9">
        <v>3.3</v>
      </c>
      <c r="AF64" s="9" t="s">
        <v>357</v>
      </c>
      <c r="AG64" s="9"/>
      <c r="AH64" s="9" t="s">
        <v>61</v>
      </c>
      <c r="AI64" s="9">
        <v>89</v>
      </c>
      <c r="AJ64" s="9">
        <v>100</v>
      </c>
      <c r="AK64" s="9" t="s">
        <v>358</v>
      </c>
      <c r="AL64" s="9">
        <v>14</v>
      </c>
      <c r="AM64" s="9"/>
      <c r="AN64" s="9" t="s">
        <v>63</v>
      </c>
      <c r="AO64" s="9" t="s">
        <v>348</v>
      </c>
      <c r="AP64" s="9" t="s">
        <v>349</v>
      </c>
      <c r="AQ64" s="9" t="s">
        <v>274</v>
      </c>
      <c r="AR64" s="9" t="s">
        <v>274</v>
      </c>
      <c r="AS64" s="9" t="s">
        <v>68</v>
      </c>
      <c r="AT64" s="9" t="s">
        <v>69</v>
      </c>
      <c r="AU64" s="9" t="s">
        <v>70</v>
      </c>
      <c r="AV64" s="9">
        <v>31</v>
      </c>
    </row>
    <row r="65" spans="1:48">
      <c r="A65" s="9">
        <f t="shared" si="0"/>
        <v>64</v>
      </c>
      <c r="B65" s="9" t="s">
        <v>339</v>
      </c>
      <c r="C65" s="9" t="s">
        <v>359</v>
      </c>
      <c r="D65" s="9">
        <v>1</v>
      </c>
      <c r="E65" s="9">
        <v>1</v>
      </c>
      <c r="F65" s="9" t="s">
        <v>50</v>
      </c>
      <c r="G65" s="9" t="s">
        <v>360</v>
      </c>
      <c r="H65" s="9"/>
      <c r="I65" s="9" t="s">
        <v>361</v>
      </c>
      <c r="J65" s="9" t="s">
        <v>53</v>
      </c>
      <c r="K65" s="9" t="s">
        <v>54</v>
      </c>
      <c r="L65" s="9" t="s">
        <v>343</v>
      </c>
      <c r="M65" s="9" t="s">
        <v>56</v>
      </c>
      <c r="N65" s="9" t="s">
        <v>344</v>
      </c>
      <c r="O65" s="9">
        <v>5</v>
      </c>
      <c r="P65" s="9" t="s">
        <v>58</v>
      </c>
      <c r="Q65" s="9">
        <v>2660</v>
      </c>
      <c r="R65" s="9">
        <v>82</v>
      </c>
      <c r="S65" s="9"/>
      <c r="T65" s="9">
        <v>160</v>
      </c>
      <c r="U65" s="9">
        <v>11</v>
      </c>
      <c r="V65" s="9">
        <v>1</v>
      </c>
      <c r="W65" s="9">
        <v>2</v>
      </c>
      <c r="X65" s="9">
        <v>120</v>
      </c>
      <c r="Y65" s="9">
        <v>63.679848</v>
      </c>
      <c r="Z65" s="9">
        <v>1.5</v>
      </c>
      <c r="AA65" s="9">
        <v>320</v>
      </c>
      <c r="AB65" s="9">
        <v>320</v>
      </c>
      <c r="AC65" s="9" t="s">
        <v>83</v>
      </c>
      <c r="AD65" s="9">
        <v>3</v>
      </c>
      <c r="AE65" s="9">
        <v>3.3</v>
      </c>
      <c r="AF65" s="9" t="s">
        <v>218</v>
      </c>
      <c r="AG65" s="9"/>
      <c r="AH65" s="9" t="s">
        <v>61</v>
      </c>
      <c r="AI65" s="9">
        <v>75</v>
      </c>
      <c r="AJ65" s="9">
        <v>100</v>
      </c>
      <c r="AK65" s="9" t="s">
        <v>358</v>
      </c>
      <c r="AL65" s="9">
        <v>17</v>
      </c>
      <c r="AM65" s="9"/>
      <c r="AN65" s="9" t="s">
        <v>63</v>
      </c>
      <c r="AO65" s="9" t="s">
        <v>348</v>
      </c>
      <c r="AP65" s="9" t="s">
        <v>349</v>
      </c>
      <c r="AQ65" s="9" t="s">
        <v>274</v>
      </c>
      <c r="AR65" s="9" t="s">
        <v>274</v>
      </c>
      <c r="AS65" s="9" t="s">
        <v>68</v>
      </c>
      <c r="AT65" s="9" t="s">
        <v>69</v>
      </c>
      <c r="AU65" s="9" t="s">
        <v>70</v>
      </c>
      <c r="AV65" s="9">
        <v>31</v>
      </c>
    </row>
    <row r="66" spans="1:48">
      <c r="A66" s="9">
        <f t="shared" si="0"/>
        <v>65</v>
      </c>
      <c r="B66" s="9" t="s">
        <v>362</v>
      </c>
      <c r="C66" s="9" t="s">
        <v>363</v>
      </c>
      <c r="D66" s="9">
        <v>0</v>
      </c>
      <c r="E66" s="9">
        <v>0</v>
      </c>
      <c r="F66" s="9" t="s">
        <v>72</v>
      </c>
      <c r="G66" s="9" t="s">
        <v>364</v>
      </c>
      <c r="H66" s="9"/>
      <c r="I66" s="9"/>
      <c r="J66" s="9" t="s">
        <v>53</v>
      </c>
      <c r="K66" s="9" t="s">
        <v>97</v>
      </c>
      <c r="L66" s="9" t="s">
        <v>98</v>
      </c>
      <c r="M66" s="9" t="s">
        <v>56</v>
      </c>
      <c r="N66" s="9" t="s">
        <v>99</v>
      </c>
      <c r="O66" s="9">
        <v>1001</v>
      </c>
      <c r="P66" s="9" t="s">
        <v>58</v>
      </c>
      <c r="Q66" s="10">
        <v>500.000396728515</v>
      </c>
      <c r="R66" s="9">
        <v>20</v>
      </c>
      <c r="S66" s="9"/>
      <c r="T66" s="9">
        <v>90</v>
      </c>
      <c r="U66" s="9">
        <v>6</v>
      </c>
      <c r="V66" s="9">
        <v>1</v>
      </c>
      <c r="W66" s="9">
        <v>3</v>
      </c>
      <c r="X66" s="9">
        <v>323</v>
      </c>
      <c r="Y66" s="9">
        <v>127.75652</v>
      </c>
      <c r="Z66" s="9">
        <v>3</v>
      </c>
      <c r="AA66" s="9">
        <v>512</v>
      </c>
      <c r="AB66" s="9">
        <v>512</v>
      </c>
      <c r="AC66" s="9" t="s">
        <v>365</v>
      </c>
      <c r="AD66" s="9">
        <v>4</v>
      </c>
      <c r="AE66" s="9">
        <v>5.086</v>
      </c>
      <c r="AF66" s="9" t="s">
        <v>366</v>
      </c>
      <c r="AG66" s="9"/>
      <c r="AH66" s="9" t="s">
        <v>77</v>
      </c>
      <c r="AI66" s="10">
        <v>69.2307662963867</v>
      </c>
      <c r="AJ66" s="9">
        <v>100</v>
      </c>
      <c r="AK66" s="9" t="s">
        <v>367</v>
      </c>
      <c r="AL66" s="9">
        <v>8</v>
      </c>
      <c r="AM66" s="9">
        <v>1</v>
      </c>
      <c r="AN66" s="9" t="s">
        <v>368</v>
      </c>
      <c r="AO66" s="9" t="s">
        <v>369</v>
      </c>
      <c r="AP66" s="9" t="s">
        <v>370</v>
      </c>
      <c r="AQ66" s="9" t="s">
        <v>106</v>
      </c>
      <c r="AR66" s="9"/>
      <c r="AS66" s="9" t="s">
        <v>68</v>
      </c>
      <c r="AT66" s="9" t="s">
        <v>69</v>
      </c>
      <c r="AU66" s="9"/>
      <c r="AV66" s="9">
        <v>18</v>
      </c>
    </row>
    <row r="67" spans="1:48">
      <c r="A67" s="9">
        <f t="shared" ref="A67:A130" si="1">ROW()-1</f>
        <v>66</v>
      </c>
      <c r="B67" s="9" t="s">
        <v>362</v>
      </c>
      <c r="C67" s="9" t="s">
        <v>371</v>
      </c>
      <c r="D67" s="9">
        <v>0</v>
      </c>
      <c r="E67" s="9">
        <v>0</v>
      </c>
      <c r="F67" s="9" t="s">
        <v>50</v>
      </c>
      <c r="G67" s="9" t="s">
        <v>372</v>
      </c>
      <c r="H67" s="9"/>
      <c r="I67" s="9"/>
      <c r="J67" s="9" t="s">
        <v>53</v>
      </c>
      <c r="K67" s="9" t="s">
        <v>97</v>
      </c>
      <c r="L67" s="9" t="s">
        <v>98</v>
      </c>
      <c r="M67" s="9" t="s">
        <v>56</v>
      </c>
      <c r="N67" s="9" t="s">
        <v>99</v>
      </c>
      <c r="O67" s="9">
        <v>601</v>
      </c>
      <c r="P67" s="9" t="s">
        <v>58</v>
      </c>
      <c r="Q67" s="10">
        <v>1571.59973144531</v>
      </c>
      <c r="R67" s="9">
        <v>20</v>
      </c>
      <c r="S67" s="9"/>
      <c r="T67" s="9">
        <v>90</v>
      </c>
      <c r="U67" s="9">
        <v>14</v>
      </c>
      <c r="V67" s="9">
        <v>1</v>
      </c>
      <c r="W67" s="9">
        <v>1</v>
      </c>
      <c r="X67" s="9">
        <v>290</v>
      </c>
      <c r="Y67" s="9">
        <v>127.75652</v>
      </c>
      <c r="Z67" s="9">
        <v>3</v>
      </c>
      <c r="AA67" s="9">
        <v>1024</v>
      </c>
      <c r="AB67" s="9">
        <v>1024</v>
      </c>
      <c r="AC67" s="9" t="s">
        <v>373</v>
      </c>
      <c r="AD67" s="9">
        <v>3.5</v>
      </c>
      <c r="AE67" s="9">
        <v>4.5</v>
      </c>
      <c r="AF67" s="9" t="s">
        <v>374</v>
      </c>
      <c r="AG67" s="9"/>
      <c r="AH67" s="9" t="s">
        <v>61</v>
      </c>
      <c r="AI67" s="9">
        <v>100</v>
      </c>
      <c r="AJ67" s="9">
        <v>100</v>
      </c>
      <c r="AK67" s="9" t="s">
        <v>375</v>
      </c>
      <c r="AL67" s="9">
        <v>22</v>
      </c>
      <c r="AM67" s="9">
        <v>1</v>
      </c>
      <c r="AN67" s="9" t="s">
        <v>368</v>
      </c>
      <c r="AO67" s="9" t="s">
        <v>369</v>
      </c>
      <c r="AP67" s="9" t="s">
        <v>370</v>
      </c>
      <c r="AQ67" s="9" t="s">
        <v>106</v>
      </c>
      <c r="AR67" s="9"/>
      <c r="AS67" s="9" t="s">
        <v>68</v>
      </c>
      <c r="AT67" s="9" t="s">
        <v>69</v>
      </c>
      <c r="AU67" s="9"/>
      <c r="AV67" s="9">
        <v>22</v>
      </c>
    </row>
    <row r="68" spans="1:48">
      <c r="A68" s="9">
        <f t="shared" si="1"/>
        <v>67</v>
      </c>
      <c r="B68" s="9" t="s">
        <v>362</v>
      </c>
      <c r="C68" s="9" t="s">
        <v>376</v>
      </c>
      <c r="D68" s="9">
        <v>1</v>
      </c>
      <c r="E68" s="9">
        <v>1</v>
      </c>
      <c r="F68" s="9" t="s">
        <v>91</v>
      </c>
      <c r="G68" s="9" t="s">
        <v>377</v>
      </c>
      <c r="H68" s="9"/>
      <c r="I68" s="9"/>
      <c r="J68" s="9" t="s">
        <v>53</v>
      </c>
      <c r="K68" s="9" t="s">
        <v>97</v>
      </c>
      <c r="L68" s="9" t="s">
        <v>113</v>
      </c>
      <c r="M68" s="9" t="s">
        <v>56</v>
      </c>
      <c r="N68" s="9" t="s">
        <v>99</v>
      </c>
      <c r="O68" s="9">
        <v>1101</v>
      </c>
      <c r="P68" s="9" t="s">
        <v>58</v>
      </c>
      <c r="Q68" s="10">
        <v>1999.99975585937</v>
      </c>
      <c r="R68" s="9">
        <v>45</v>
      </c>
      <c r="S68" s="9"/>
      <c r="T68" s="9">
        <v>90</v>
      </c>
      <c r="U68" s="9">
        <v>21</v>
      </c>
      <c r="V68" s="9">
        <v>1</v>
      </c>
      <c r="W68" s="9">
        <v>4</v>
      </c>
      <c r="X68" s="9">
        <v>444</v>
      </c>
      <c r="Y68" s="9">
        <v>127.75648</v>
      </c>
      <c r="Z68" s="9">
        <v>3</v>
      </c>
      <c r="AA68" s="9">
        <v>432</v>
      </c>
      <c r="AB68" s="9">
        <v>432</v>
      </c>
      <c r="AC68" s="9" t="s">
        <v>378</v>
      </c>
      <c r="AD68" s="9">
        <v>2.5</v>
      </c>
      <c r="AE68" s="9">
        <v>3.85</v>
      </c>
      <c r="AF68" s="9" t="s">
        <v>379</v>
      </c>
      <c r="AG68" s="9"/>
      <c r="AH68" s="9" t="s">
        <v>77</v>
      </c>
      <c r="AI68" s="10">
        <v>81.538459777832</v>
      </c>
      <c r="AJ68" s="9">
        <v>135</v>
      </c>
      <c r="AK68" s="9" t="s">
        <v>380</v>
      </c>
      <c r="AL68" s="9">
        <v>1</v>
      </c>
      <c r="AM68" s="9">
        <v>1</v>
      </c>
      <c r="AN68" s="9" t="s">
        <v>368</v>
      </c>
      <c r="AO68" s="9" t="s">
        <v>369</v>
      </c>
      <c r="AP68" s="9" t="s">
        <v>370</v>
      </c>
      <c r="AQ68" s="9" t="s">
        <v>106</v>
      </c>
      <c r="AR68" s="9"/>
      <c r="AS68" s="9" t="s">
        <v>68</v>
      </c>
      <c r="AT68" s="9" t="s">
        <v>69</v>
      </c>
      <c r="AU68" s="9"/>
      <c r="AV68" s="9">
        <v>12</v>
      </c>
    </row>
    <row r="69" spans="1:48">
      <c r="A69" s="9">
        <f t="shared" si="1"/>
        <v>68</v>
      </c>
      <c r="B69" s="9" t="s">
        <v>362</v>
      </c>
      <c r="C69" s="9" t="s">
        <v>381</v>
      </c>
      <c r="D69" s="9">
        <v>1</v>
      </c>
      <c r="E69" s="9">
        <v>1</v>
      </c>
      <c r="F69" s="9" t="s">
        <v>72</v>
      </c>
      <c r="G69" s="9" t="s">
        <v>382</v>
      </c>
      <c r="H69" s="9"/>
      <c r="I69" s="9"/>
      <c r="J69" s="9" t="s">
        <v>53</v>
      </c>
      <c r="K69" s="9" t="s">
        <v>97</v>
      </c>
      <c r="L69" s="9" t="s">
        <v>113</v>
      </c>
      <c r="M69" s="9" t="s">
        <v>56</v>
      </c>
      <c r="N69" s="9" t="s">
        <v>99</v>
      </c>
      <c r="O69" s="9">
        <v>901</v>
      </c>
      <c r="P69" s="9" t="s">
        <v>58</v>
      </c>
      <c r="Q69" s="10">
        <v>1604.85388183593</v>
      </c>
      <c r="R69" s="9">
        <v>20</v>
      </c>
      <c r="S69" s="9"/>
      <c r="T69" s="9">
        <v>90</v>
      </c>
      <c r="U69" s="9">
        <v>11</v>
      </c>
      <c r="V69" s="9">
        <v>1</v>
      </c>
      <c r="W69" s="9">
        <v>2</v>
      </c>
      <c r="X69" s="9">
        <v>342</v>
      </c>
      <c r="Y69" s="9">
        <v>127.756464</v>
      </c>
      <c r="Z69" s="9">
        <v>3</v>
      </c>
      <c r="AA69" s="9">
        <v>512</v>
      </c>
      <c r="AB69" s="9">
        <v>512</v>
      </c>
      <c r="AC69" s="9" t="s">
        <v>365</v>
      </c>
      <c r="AD69" s="9">
        <v>4</v>
      </c>
      <c r="AE69" s="9">
        <v>5.086</v>
      </c>
      <c r="AF69" s="9" t="s">
        <v>383</v>
      </c>
      <c r="AG69" s="9"/>
      <c r="AH69" s="9" t="s">
        <v>77</v>
      </c>
      <c r="AI69" s="9">
        <v>100</v>
      </c>
      <c r="AJ69" s="9">
        <v>100</v>
      </c>
      <c r="AK69" s="9" t="s">
        <v>367</v>
      </c>
      <c r="AL69" s="9">
        <v>7</v>
      </c>
      <c r="AM69" s="9">
        <v>1</v>
      </c>
      <c r="AN69" s="9" t="s">
        <v>368</v>
      </c>
      <c r="AO69" s="9" t="s">
        <v>369</v>
      </c>
      <c r="AP69" s="9" t="s">
        <v>370</v>
      </c>
      <c r="AQ69" s="9" t="s">
        <v>106</v>
      </c>
      <c r="AR69" s="9"/>
      <c r="AS69" s="9" t="s">
        <v>68</v>
      </c>
      <c r="AT69" s="9" t="s">
        <v>69</v>
      </c>
      <c r="AU69" s="9"/>
      <c r="AV69" s="9">
        <v>18</v>
      </c>
    </row>
    <row r="70" spans="1:48">
      <c r="A70" s="9">
        <f t="shared" si="1"/>
        <v>69</v>
      </c>
      <c r="B70" s="9" t="s">
        <v>362</v>
      </c>
      <c r="C70" s="9" t="s">
        <v>384</v>
      </c>
      <c r="D70" s="9">
        <v>1</v>
      </c>
      <c r="E70" s="9">
        <v>1</v>
      </c>
      <c r="F70" s="9" t="s">
        <v>50</v>
      </c>
      <c r="G70" s="9" t="s">
        <v>385</v>
      </c>
      <c r="H70" s="9"/>
      <c r="I70" s="9"/>
      <c r="J70" s="9" t="s">
        <v>53</v>
      </c>
      <c r="K70" s="9" t="s">
        <v>97</v>
      </c>
      <c r="L70" s="9" t="s">
        <v>113</v>
      </c>
      <c r="M70" s="9" t="s">
        <v>56</v>
      </c>
      <c r="N70" s="9" t="s">
        <v>99</v>
      </c>
      <c r="O70" s="9">
        <v>701</v>
      </c>
      <c r="P70" s="9" t="s">
        <v>58</v>
      </c>
      <c r="Q70" s="10">
        <v>1608.19555664062</v>
      </c>
      <c r="R70" s="9">
        <v>20</v>
      </c>
      <c r="S70" s="9"/>
      <c r="T70" s="9">
        <v>90</v>
      </c>
      <c r="U70" s="9">
        <v>14</v>
      </c>
      <c r="V70" s="9">
        <v>1</v>
      </c>
      <c r="W70" s="9">
        <v>1</v>
      </c>
      <c r="X70" s="9">
        <v>280</v>
      </c>
      <c r="Y70" s="9">
        <v>127.756416</v>
      </c>
      <c r="Z70" s="9">
        <v>3</v>
      </c>
      <c r="AA70" s="9">
        <v>640</v>
      </c>
      <c r="AB70" s="9">
        <v>640</v>
      </c>
      <c r="AC70" s="9" t="s">
        <v>386</v>
      </c>
      <c r="AD70" s="9">
        <v>3.5</v>
      </c>
      <c r="AE70" s="9">
        <v>4.5</v>
      </c>
      <c r="AF70" s="9" t="s">
        <v>387</v>
      </c>
      <c r="AG70" s="9"/>
      <c r="AH70" s="9" t="s">
        <v>61</v>
      </c>
      <c r="AI70" s="10">
        <v>88.4078216552734</v>
      </c>
      <c r="AJ70" s="9">
        <v>100</v>
      </c>
      <c r="AK70" s="9" t="s">
        <v>375</v>
      </c>
      <c r="AL70" s="9">
        <v>15</v>
      </c>
      <c r="AM70" s="9">
        <v>1</v>
      </c>
      <c r="AN70" s="9" t="s">
        <v>368</v>
      </c>
      <c r="AO70" s="9" t="s">
        <v>369</v>
      </c>
      <c r="AP70" s="9" t="s">
        <v>370</v>
      </c>
      <c r="AQ70" s="9" t="s">
        <v>106</v>
      </c>
      <c r="AR70" s="9"/>
      <c r="AS70" s="9" t="s">
        <v>68</v>
      </c>
      <c r="AT70" s="9" t="s">
        <v>69</v>
      </c>
      <c r="AU70" s="9"/>
      <c r="AV70" s="9">
        <v>22</v>
      </c>
    </row>
    <row r="71" spans="1:48">
      <c r="A71" s="9">
        <f t="shared" si="1"/>
        <v>70</v>
      </c>
      <c r="B71" s="9" t="s">
        <v>362</v>
      </c>
      <c r="C71" s="9" t="s">
        <v>388</v>
      </c>
      <c r="D71" s="9">
        <v>1</v>
      </c>
      <c r="E71" s="9">
        <v>1</v>
      </c>
      <c r="F71" s="9" t="s">
        <v>91</v>
      </c>
      <c r="G71" s="9" t="s">
        <v>389</v>
      </c>
      <c r="H71" s="9"/>
      <c r="I71" s="9"/>
      <c r="J71" s="9" t="s">
        <v>390</v>
      </c>
      <c r="K71" s="9" t="s">
        <v>97</v>
      </c>
      <c r="L71" s="9" t="s">
        <v>391</v>
      </c>
      <c r="M71" s="9" t="s">
        <v>56</v>
      </c>
      <c r="N71" s="9" t="s">
        <v>392</v>
      </c>
      <c r="O71" s="9">
        <v>801</v>
      </c>
      <c r="P71" s="9" t="s">
        <v>58</v>
      </c>
      <c r="Q71" s="10">
        <v>3003.08349609375</v>
      </c>
      <c r="R71" s="9">
        <v>30</v>
      </c>
      <c r="S71" s="9">
        <v>190</v>
      </c>
      <c r="T71" s="9">
        <v>90</v>
      </c>
      <c r="U71" s="9">
        <v>16</v>
      </c>
      <c r="V71" s="9">
        <v>1</v>
      </c>
      <c r="W71" s="9">
        <v>2</v>
      </c>
      <c r="X71" s="9">
        <v>603</v>
      </c>
      <c r="Y71" s="9">
        <v>127.75652</v>
      </c>
      <c r="Z71" s="9">
        <v>3</v>
      </c>
      <c r="AA71" s="9">
        <v>352</v>
      </c>
      <c r="AB71" s="9">
        <v>352</v>
      </c>
      <c r="AC71" s="9" t="s">
        <v>393</v>
      </c>
      <c r="AD71" s="9">
        <v>3.5</v>
      </c>
      <c r="AE71" s="9">
        <v>5.34</v>
      </c>
      <c r="AF71" s="9" t="s">
        <v>325</v>
      </c>
      <c r="AG71" s="9"/>
      <c r="AH71" s="9" t="s">
        <v>77</v>
      </c>
      <c r="AI71" s="9">
        <v>107.421875</v>
      </c>
      <c r="AJ71" s="9">
        <v>100</v>
      </c>
      <c r="AK71" s="9" t="s">
        <v>394</v>
      </c>
      <c r="AL71" s="9">
        <v>1</v>
      </c>
      <c r="AM71" s="9">
        <v>1</v>
      </c>
      <c r="AN71" s="9" t="s">
        <v>368</v>
      </c>
      <c r="AO71" s="9" t="s">
        <v>369</v>
      </c>
      <c r="AP71" s="9" t="s">
        <v>370</v>
      </c>
      <c r="AQ71" s="9" t="s">
        <v>106</v>
      </c>
      <c r="AR71" s="9"/>
      <c r="AS71" s="9" t="s">
        <v>68</v>
      </c>
      <c r="AT71" s="9" t="s">
        <v>69</v>
      </c>
      <c r="AU71" s="9"/>
      <c r="AV71" s="9">
        <v>22</v>
      </c>
    </row>
    <row r="72" spans="1:48">
      <c r="A72" s="9">
        <f t="shared" si="1"/>
        <v>71</v>
      </c>
      <c r="B72" s="9" t="s">
        <v>395</v>
      </c>
      <c r="C72" s="9" t="s">
        <v>396</v>
      </c>
      <c r="D72" s="9">
        <v>0</v>
      </c>
      <c r="E72" s="9">
        <v>0</v>
      </c>
      <c r="F72" s="9" t="s">
        <v>50</v>
      </c>
      <c r="G72" s="9" t="s">
        <v>372</v>
      </c>
      <c r="H72" s="9"/>
      <c r="I72" s="9"/>
      <c r="J72" s="9" t="s">
        <v>53</v>
      </c>
      <c r="K72" s="9" t="s">
        <v>97</v>
      </c>
      <c r="L72" s="9" t="s">
        <v>98</v>
      </c>
      <c r="M72" s="9" t="s">
        <v>56</v>
      </c>
      <c r="N72" s="9" t="s">
        <v>99</v>
      </c>
      <c r="O72" s="9">
        <v>501</v>
      </c>
      <c r="P72" s="9" t="s">
        <v>58</v>
      </c>
      <c r="Q72" s="10">
        <v>2608.59008789062</v>
      </c>
      <c r="R72" s="9">
        <v>30</v>
      </c>
      <c r="S72" s="9"/>
      <c r="T72" s="9">
        <v>90</v>
      </c>
      <c r="U72" s="9">
        <v>12</v>
      </c>
      <c r="V72" s="9">
        <v>1</v>
      </c>
      <c r="W72" s="9">
        <v>2</v>
      </c>
      <c r="X72" s="9">
        <v>219</v>
      </c>
      <c r="Y72" s="9">
        <v>63.89975</v>
      </c>
      <c r="Z72" s="9">
        <v>1.5</v>
      </c>
      <c r="AA72" s="9">
        <v>768</v>
      </c>
      <c r="AB72" s="9">
        <v>768</v>
      </c>
      <c r="AC72" s="9" t="s">
        <v>397</v>
      </c>
      <c r="AD72" s="9">
        <v>3</v>
      </c>
      <c r="AE72" s="9">
        <v>4.899</v>
      </c>
      <c r="AF72" s="9" t="s">
        <v>398</v>
      </c>
      <c r="AG72" s="9"/>
      <c r="AH72" s="9" t="s">
        <v>77</v>
      </c>
      <c r="AI72" s="9">
        <v>70</v>
      </c>
      <c r="AJ72" s="9">
        <v>112.5</v>
      </c>
      <c r="AK72" s="9" t="s">
        <v>399</v>
      </c>
      <c r="AL72" s="9">
        <v>2</v>
      </c>
      <c r="AM72" s="9">
        <v>1</v>
      </c>
      <c r="AN72" s="9" t="s">
        <v>400</v>
      </c>
      <c r="AO72" s="9" t="s">
        <v>401</v>
      </c>
      <c r="AP72" s="9" t="s">
        <v>402</v>
      </c>
      <c r="AQ72" s="9" t="s">
        <v>403</v>
      </c>
      <c r="AR72" s="9" t="s">
        <v>404</v>
      </c>
      <c r="AS72" s="9" t="s">
        <v>405</v>
      </c>
      <c r="AT72" s="9" t="s">
        <v>69</v>
      </c>
      <c r="AU72" s="9"/>
      <c r="AV72" s="9">
        <v>20</v>
      </c>
    </row>
    <row r="73" spans="1:48">
      <c r="A73" s="9">
        <f t="shared" si="1"/>
        <v>72</v>
      </c>
      <c r="B73" s="9" t="s">
        <v>395</v>
      </c>
      <c r="C73" s="9" t="s">
        <v>406</v>
      </c>
      <c r="D73" s="9">
        <v>0</v>
      </c>
      <c r="E73" s="9">
        <v>0</v>
      </c>
      <c r="F73" s="9" t="s">
        <v>50</v>
      </c>
      <c r="G73" s="9" t="s">
        <v>372</v>
      </c>
      <c r="H73" s="9"/>
      <c r="I73" s="9"/>
      <c r="J73" s="9" t="s">
        <v>53</v>
      </c>
      <c r="K73" s="9" t="s">
        <v>97</v>
      </c>
      <c r="L73" s="9" t="s">
        <v>98</v>
      </c>
      <c r="M73" s="9" t="s">
        <v>56</v>
      </c>
      <c r="N73" s="9" t="s">
        <v>99</v>
      </c>
      <c r="O73" s="9">
        <v>601</v>
      </c>
      <c r="P73" s="9" t="s">
        <v>58</v>
      </c>
      <c r="Q73" s="10">
        <v>2608.53588867187</v>
      </c>
      <c r="R73" s="9">
        <v>30</v>
      </c>
      <c r="S73" s="9"/>
      <c r="T73" s="9">
        <v>90</v>
      </c>
      <c r="U73" s="9">
        <v>12</v>
      </c>
      <c r="V73" s="9">
        <v>1</v>
      </c>
      <c r="W73" s="9">
        <v>2</v>
      </c>
      <c r="X73" s="9">
        <v>219</v>
      </c>
      <c r="Y73" s="9">
        <v>63.89975</v>
      </c>
      <c r="Z73" s="9">
        <v>1.5</v>
      </c>
      <c r="AA73" s="9">
        <v>768</v>
      </c>
      <c r="AB73" s="9">
        <v>768</v>
      </c>
      <c r="AC73" s="9" t="s">
        <v>407</v>
      </c>
      <c r="AD73" s="9">
        <v>3</v>
      </c>
      <c r="AE73" s="9">
        <v>5.297</v>
      </c>
      <c r="AF73" s="9" t="s">
        <v>408</v>
      </c>
      <c r="AG73" s="9"/>
      <c r="AH73" s="9" t="s">
        <v>77</v>
      </c>
      <c r="AI73" s="10">
        <v>69.6022720336914</v>
      </c>
      <c r="AJ73" s="10">
        <v>112.820520108996</v>
      </c>
      <c r="AK73" s="9" t="s">
        <v>399</v>
      </c>
      <c r="AL73" s="9">
        <v>14</v>
      </c>
      <c r="AM73" s="9">
        <v>1</v>
      </c>
      <c r="AN73" s="9" t="s">
        <v>400</v>
      </c>
      <c r="AO73" s="9" t="s">
        <v>401</v>
      </c>
      <c r="AP73" s="9" t="s">
        <v>402</v>
      </c>
      <c r="AQ73" s="9" t="s">
        <v>403</v>
      </c>
      <c r="AR73" s="9" t="s">
        <v>404</v>
      </c>
      <c r="AS73" s="9" t="s">
        <v>405</v>
      </c>
      <c r="AT73" s="9" t="s">
        <v>69</v>
      </c>
      <c r="AU73" s="9"/>
      <c r="AV73" s="9">
        <v>20</v>
      </c>
    </row>
    <row r="74" spans="1:48">
      <c r="A74" s="9">
        <f t="shared" si="1"/>
        <v>73</v>
      </c>
      <c r="B74" s="9" t="s">
        <v>395</v>
      </c>
      <c r="C74" s="9" t="s">
        <v>409</v>
      </c>
      <c r="D74" s="9">
        <v>1</v>
      </c>
      <c r="E74" s="9">
        <v>1</v>
      </c>
      <c r="F74" s="9" t="s">
        <v>72</v>
      </c>
      <c r="G74" s="9" t="s">
        <v>410</v>
      </c>
      <c r="H74" s="9"/>
      <c r="I74" s="9"/>
      <c r="J74" s="9" t="s">
        <v>53</v>
      </c>
      <c r="K74" s="9" t="s">
        <v>171</v>
      </c>
      <c r="L74" s="9" t="s">
        <v>113</v>
      </c>
      <c r="M74" s="9" t="s">
        <v>56</v>
      </c>
      <c r="N74" s="9" t="s">
        <v>99</v>
      </c>
      <c r="O74" s="9">
        <v>301</v>
      </c>
      <c r="P74" s="9" t="s">
        <v>58</v>
      </c>
      <c r="Q74" s="10">
        <v>2199.99951171875</v>
      </c>
      <c r="R74" s="9">
        <v>12</v>
      </c>
      <c r="S74" s="9"/>
      <c r="T74" s="9">
        <v>90</v>
      </c>
      <c r="U74" s="9">
        <v>7</v>
      </c>
      <c r="V74" s="9">
        <v>1</v>
      </c>
      <c r="W74" s="9">
        <v>2</v>
      </c>
      <c r="X74" s="9">
        <v>176</v>
      </c>
      <c r="Y74" s="9">
        <v>63.899797</v>
      </c>
      <c r="Z74" s="9">
        <v>1.5</v>
      </c>
      <c r="AA74" s="9">
        <v>336</v>
      </c>
      <c r="AB74" s="9">
        <v>336</v>
      </c>
      <c r="AC74" s="9" t="s">
        <v>411</v>
      </c>
      <c r="AD74" s="9">
        <v>4</v>
      </c>
      <c r="AE74" s="9">
        <v>5.774</v>
      </c>
      <c r="AF74" s="9" t="s">
        <v>412</v>
      </c>
      <c r="AG74" s="9"/>
      <c r="AH74" s="9" t="s">
        <v>77</v>
      </c>
      <c r="AI74" s="10">
        <v>79.3981475830078</v>
      </c>
      <c r="AJ74" s="10">
        <v>94.7368431091308</v>
      </c>
      <c r="AK74" s="9" t="s">
        <v>413</v>
      </c>
      <c r="AL74" s="9">
        <v>9</v>
      </c>
      <c r="AM74" s="9">
        <v>1</v>
      </c>
      <c r="AN74" s="9" t="s">
        <v>400</v>
      </c>
      <c r="AO74" s="9" t="s">
        <v>401</v>
      </c>
      <c r="AP74" s="9" t="s">
        <v>402</v>
      </c>
      <c r="AQ74" s="9" t="s">
        <v>403</v>
      </c>
      <c r="AR74" s="9" t="s">
        <v>404</v>
      </c>
      <c r="AS74" s="9" t="s">
        <v>405</v>
      </c>
      <c r="AT74" s="9" t="s">
        <v>69</v>
      </c>
      <c r="AU74" s="9"/>
      <c r="AV74" s="9">
        <v>18</v>
      </c>
    </row>
    <row r="75" spans="1:48">
      <c r="A75" s="9">
        <f t="shared" si="1"/>
        <v>74</v>
      </c>
      <c r="B75" s="9" t="s">
        <v>395</v>
      </c>
      <c r="C75" s="9" t="s">
        <v>414</v>
      </c>
      <c r="D75" s="9">
        <v>1</v>
      </c>
      <c r="E75" s="9">
        <v>1</v>
      </c>
      <c r="F75" s="9" t="s">
        <v>50</v>
      </c>
      <c r="G75" s="9" t="s">
        <v>385</v>
      </c>
      <c r="H75" s="9"/>
      <c r="I75" s="9"/>
      <c r="J75" s="9" t="s">
        <v>53</v>
      </c>
      <c r="K75" s="9" t="s">
        <v>171</v>
      </c>
      <c r="L75" s="9" t="s">
        <v>113</v>
      </c>
      <c r="M75" s="9" t="s">
        <v>56</v>
      </c>
      <c r="N75" s="9" t="s">
        <v>99</v>
      </c>
      <c r="O75" s="9">
        <v>701</v>
      </c>
      <c r="P75" s="9" t="s">
        <v>58</v>
      </c>
      <c r="Q75" s="9">
        <v>2000</v>
      </c>
      <c r="R75" s="9">
        <v>12</v>
      </c>
      <c r="S75" s="9"/>
      <c r="T75" s="9">
        <v>90</v>
      </c>
      <c r="U75" s="9">
        <v>5</v>
      </c>
      <c r="V75" s="9">
        <v>1</v>
      </c>
      <c r="W75" s="9">
        <v>2</v>
      </c>
      <c r="X75" s="9">
        <v>174</v>
      </c>
      <c r="Y75" s="9">
        <v>63.899791</v>
      </c>
      <c r="Z75" s="9">
        <v>1.5</v>
      </c>
      <c r="AA75" s="9">
        <v>384</v>
      </c>
      <c r="AB75" s="9">
        <v>384</v>
      </c>
      <c r="AC75" s="9" t="s">
        <v>393</v>
      </c>
      <c r="AD75" s="9">
        <v>4</v>
      </c>
      <c r="AE75" s="9">
        <v>5.29</v>
      </c>
      <c r="AF75" s="9" t="s">
        <v>415</v>
      </c>
      <c r="AG75" s="9"/>
      <c r="AH75" s="9" t="s">
        <v>61</v>
      </c>
      <c r="AI75" s="10">
        <v>80.1229476928711</v>
      </c>
      <c r="AJ75" s="9">
        <v>95.3125</v>
      </c>
      <c r="AK75" s="9" t="s">
        <v>399</v>
      </c>
      <c r="AL75" s="9">
        <v>11</v>
      </c>
      <c r="AM75" s="9">
        <v>1</v>
      </c>
      <c r="AN75" s="9" t="s">
        <v>400</v>
      </c>
      <c r="AO75" s="9" t="s">
        <v>401</v>
      </c>
      <c r="AP75" s="9" t="s">
        <v>402</v>
      </c>
      <c r="AQ75" s="9" t="s">
        <v>403</v>
      </c>
      <c r="AR75" s="9" t="s">
        <v>404</v>
      </c>
      <c r="AS75" s="9" t="s">
        <v>405</v>
      </c>
      <c r="AT75" s="9" t="s">
        <v>69</v>
      </c>
      <c r="AU75" s="9"/>
      <c r="AV75" s="9">
        <v>20</v>
      </c>
    </row>
    <row r="76" spans="1:48">
      <c r="A76" s="9">
        <f t="shared" si="1"/>
        <v>75</v>
      </c>
      <c r="B76" s="9" t="s">
        <v>395</v>
      </c>
      <c r="C76" s="9" t="s">
        <v>416</v>
      </c>
      <c r="D76" s="9">
        <v>0</v>
      </c>
      <c r="E76" s="9">
        <v>0</v>
      </c>
      <c r="F76" s="9" t="s">
        <v>72</v>
      </c>
      <c r="G76" s="9" t="s">
        <v>417</v>
      </c>
      <c r="H76" s="9"/>
      <c r="I76" s="9"/>
      <c r="J76" s="9" t="s">
        <v>53</v>
      </c>
      <c r="K76" s="9" t="s">
        <v>97</v>
      </c>
      <c r="L76" s="9" t="s">
        <v>98</v>
      </c>
      <c r="M76" s="9" t="s">
        <v>56</v>
      </c>
      <c r="N76" s="9" t="s">
        <v>99</v>
      </c>
      <c r="O76" s="9">
        <v>401</v>
      </c>
      <c r="P76" s="9" t="s">
        <v>58</v>
      </c>
      <c r="Q76" s="9">
        <v>450</v>
      </c>
      <c r="R76" s="9">
        <v>21</v>
      </c>
      <c r="S76" s="9"/>
      <c r="T76" s="9">
        <v>90</v>
      </c>
      <c r="U76" s="9">
        <v>4</v>
      </c>
      <c r="V76" s="9">
        <v>1</v>
      </c>
      <c r="W76" s="9">
        <v>2</v>
      </c>
      <c r="X76" s="9">
        <v>205</v>
      </c>
      <c r="Y76" s="9">
        <v>63.89975</v>
      </c>
      <c r="Z76" s="9">
        <v>1.5</v>
      </c>
      <c r="AA76" s="9">
        <v>528</v>
      </c>
      <c r="AB76" s="9">
        <v>528</v>
      </c>
      <c r="AC76" s="9" t="s">
        <v>418</v>
      </c>
      <c r="AD76" s="9">
        <v>3</v>
      </c>
      <c r="AE76" s="9">
        <v>5.689</v>
      </c>
      <c r="AF76" s="9" t="s">
        <v>419</v>
      </c>
      <c r="AG76" s="9"/>
      <c r="AH76" s="9" t="s">
        <v>77</v>
      </c>
      <c r="AI76" s="10">
        <v>67.8571395874023</v>
      </c>
      <c r="AJ76" s="9">
        <v>100</v>
      </c>
      <c r="AK76" s="9" t="s">
        <v>413</v>
      </c>
      <c r="AL76" s="9">
        <v>6</v>
      </c>
      <c r="AM76" s="9">
        <v>1</v>
      </c>
      <c r="AN76" s="9" t="s">
        <v>400</v>
      </c>
      <c r="AO76" s="9" t="s">
        <v>401</v>
      </c>
      <c r="AP76" s="9" t="s">
        <v>402</v>
      </c>
      <c r="AQ76" s="9" t="s">
        <v>403</v>
      </c>
      <c r="AR76" s="9" t="s">
        <v>404</v>
      </c>
      <c r="AS76" s="9" t="s">
        <v>405</v>
      </c>
      <c r="AT76" s="9" t="s">
        <v>69</v>
      </c>
      <c r="AU76" s="9"/>
      <c r="AV76" s="9">
        <v>18</v>
      </c>
    </row>
    <row r="77" spans="1:48">
      <c r="A77" s="9">
        <f t="shared" si="1"/>
        <v>76</v>
      </c>
      <c r="B77" s="9" t="s">
        <v>395</v>
      </c>
      <c r="C77" s="9" t="s">
        <v>420</v>
      </c>
      <c r="D77" s="9">
        <v>1</v>
      </c>
      <c r="E77" s="9">
        <v>1</v>
      </c>
      <c r="F77" s="9" t="s">
        <v>91</v>
      </c>
      <c r="G77" s="9" t="s">
        <v>421</v>
      </c>
      <c r="H77" s="9"/>
      <c r="I77" s="9"/>
      <c r="J77" s="9" t="s">
        <v>390</v>
      </c>
      <c r="K77" s="9" t="s">
        <v>97</v>
      </c>
      <c r="L77" s="9" t="s">
        <v>98</v>
      </c>
      <c r="M77" s="9" t="s">
        <v>56</v>
      </c>
      <c r="N77" s="9" t="s">
        <v>392</v>
      </c>
      <c r="O77" s="9">
        <v>801</v>
      </c>
      <c r="P77" s="9" t="s">
        <v>58</v>
      </c>
      <c r="Q77" s="10">
        <v>3349.46752929687</v>
      </c>
      <c r="R77" s="9">
        <v>29</v>
      </c>
      <c r="S77" s="9">
        <v>130</v>
      </c>
      <c r="T77" s="9">
        <v>90</v>
      </c>
      <c r="U77" s="9">
        <v>17</v>
      </c>
      <c r="V77" s="9">
        <v>1</v>
      </c>
      <c r="W77" s="9">
        <v>2</v>
      </c>
      <c r="X77" s="9">
        <v>208</v>
      </c>
      <c r="Y77" s="9">
        <v>63.899755</v>
      </c>
      <c r="Z77" s="9">
        <v>1.5</v>
      </c>
      <c r="AA77" s="9">
        <v>576</v>
      </c>
      <c r="AB77" s="9">
        <v>576</v>
      </c>
      <c r="AC77" s="9" t="s">
        <v>422</v>
      </c>
      <c r="AD77" s="9">
        <v>4</v>
      </c>
      <c r="AE77" s="9">
        <v>5.872</v>
      </c>
      <c r="AF77" s="9" t="s">
        <v>423</v>
      </c>
      <c r="AG77" s="9"/>
      <c r="AH77" s="9" t="s">
        <v>77</v>
      </c>
      <c r="AI77" s="10">
        <v>85.3571395874023</v>
      </c>
      <c r="AJ77" s="10">
        <v>94.5945921398344</v>
      </c>
      <c r="AK77" s="9" t="s">
        <v>424</v>
      </c>
      <c r="AL77" s="9">
        <v>10</v>
      </c>
      <c r="AM77" s="9">
        <v>1</v>
      </c>
      <c r="AN77" s="9" t="s">
        <v>400</v>
      </c>
      <c r="AO77" s="9" t="s">
        <v>401</v>
      </c>
      <c r="AP77" s="9" t="s">
        <v>402</v>
      </c>
      <c r="AQ77" s="9" t="s">
        <v>403</v>
      </c>
      <c r="AR77" s="9" t="s">
        <v>404</v>
      </c>
      <c r="AS77" s="9" t="s">
        <v>405</v>
      </c>
      <c r="AT77" s="9" t="s">
        <v>69</v>
      </c>
      <c r="AU77" s="9"/>
      <c r="AV77" s="9">
        <v>24</v>
      </c>
    </row>
    <row r="78" spans="1:48">
      <c r="A78" s="9">
        <f t="shared" si="1"/>
        <v>77</v>
      </c>
      <c r="B78" s="9" t="s">
        <v>425</v>
      </c>
      <c r="C78" s="9" t="s">
        <v>426</v>
      </c>
      <c r="D78" s="9">
        <v>0</v>
      </c>
      <c r="E78" s="9">
        <v>0</v>
      </c>
      <c r="F78" s="9" t="s">
        <v>50</v>
      </c>
      <c r="G78" s="9" t="s">
        <v>427</v>
      </c>
      <c r="H78" s="9"/>
      <c r="I78" s="9"/>
      <c r="J78" s="9" t="s">
        <v>53</v>
      </c>
      <c r="K78" s="9" t="s">
        <v>97</v>
      </c>
      <c r="L78" s="9" t="s">
        <v>98</v>
      </c>
      <c r="M78" s="9" t="s">
        <v>56</v>
      </c>
      <c r="N78" s="9" t="s">
        <v>99</v>
      </c>
      <c r="O78" s="9">
        <v>601</v>
      </c>
      <c r="P78" s="9" t="s">
        <v>58</v>
      </c>
      <c r="Q78" s="9">
        <v>3000</v>
      </c>
      <c r="R78" s="9">
        <v>80</v>
      </c>
      <c r="S78" s="9"/>
      <c r="T78" s="9">
        <v>90</v>
      </c>
      <c r="U78" s="9">
        <v>14</v>
      </c>
      <c r="V78" s="9">
        <v>1</v>
      </c>
      <c r="W78" s="9">
        <v>1</v>
      </c>
      <c r="X78" s="9">
        <v>311</v>
      </c>
      <c r="Y78" s="9">
        <v>127.753264</v>
      </c>
      <c r="Z78" s="9">
        <v>3</v>
      </c>
      <c r="AA78" s="9">
        <v>432</v>
      </c>
      <c r="AB78" s="9">
        <v>432</v>
      </c>
      <c r="AC78" s="9" t="s">
        <v>119</v>
      </c>
      <c r="AD78" s="9">
        <v>3</v>
      </c>
      <c r="AE78" s="9">
        <v>3.3</v>
      </c>
      <c r="AF78" s="9" t="s">
        <v>120</v>
      </c>
      <c r="AG78" s="9"/>
      <c r="AH78" s="9" t="s">
        <v>61</v>
      </c>
      <c r="AI78" s="10">
        <v>81.8014678955078</v>
      </c>
      <c r="AJ78" s="9">
        <v>100</v>
      </c>
      <c r="AK78" s="9" t="s">
        <v>428</v>
      </c>
      <c r="AL78" s="9">
        <v>8</v>
      </c>
      <c r="AM78" s="9"/>
      <c r="AN78" s="9" t="s">
        <v>103</v>
      </c>
      <c r="AO78" s="9" t="s">
        <v>104</v>
      </c>
      <c r="AP78" s="9" t="s">
        <v>105</v>
      </c>
      <c r="AQ78" s="9" t="s">
        <v>106</v>
      </c>
      <c r="AR78" s="9"/>
      <c r="AS78" s="9" t="s">
        <v>68</v>
      </c>
      <c r="AT78" s="9" t="s">
        <v>69</v>
      </c>
      <c r="AU78" s="9" t="s">
        <v>214</v>
      </c>
      <c r="AV78" s="9">
        <v>29</v>
      </c>
    </row>
    <row r="79" spans="1:48">
      <c r="A79" s="9">
        <f t="shared" si="1"/>
        <v>78</v>
      </c>
      <c r="B79" s="9" t="s">
        <v>425</v>
      </c>
      <c r="C79" s="9" t="s">
        <v>429</v>
      </c>
      <c r="D79" s="9">
        <v>1</v>
      </c>
      <c r="E79" s="9">
        <v>1</v>
      </c>
      <c r="F79" s="9" t="s">
        <v>50</v>
      </c>
      <c r="G79" s="9" t="s">
        <v>430</v>
      </c>
      <c r="H79" s="9"/>
      <c r="I79" s="9"/>
      <c r="J79" s="9" t="s">
        <v>53</v>
      </c>
      <c r="K79" s="9" t="s">
        <v>97</v>
      </c>
      <c r="L79" s="9" t="s">
        <v>113</v>
      </c>
      <c r="M79" s="9" t="s">
        <v>56</v>
      </c>
      <c r="N79" s="9" t="s">
        <v>99</v>
      </c>
      <c r="O79" s="9">
        <v>501</v>
      </c>
      <c r="P79" s="9" t="s">
        <v>58</v>
      </c>
      <c r="Q79" s="10">
        <v>3232.45043945312</v>
      </c>
      <c r="R79" s="9">
        <v>30</v>
      </c>
      <c r="S79" s="9"/>
      <c r="T79" s="9">
        <v>90</v>
      </c>
      <c r="U79" s="9">
        <v>12</v>
      </c>
      <c r="V79" s="9">
        <v>1</v>
      </c>
      <c r="W79" s="9">
        <v>1</v>
      </c>
      <c r="X79" s="9">
        <v>222</v>
      </c>
      <c r="Y79" s="9">
        <v>127.753248</v>
      </c>
      <c r="Z79" s="9">
        <v>3</v>
      </c>
      <c r="AA79" s="9">
        <v>800</v>
      </c>
      <c r="AB79" s="9">
        <v>800</v>
      </c>
      <c r="AC79" s="9" t="s">
        <v>131</v>
      </c>
      <c r="AD79" s="9">
        <v>3</v>
      </c>
      <c r="AE79" s="9">
        <v>3.3</v>
      </c>
      <c r="AF79" s="9" t="s">
        <v>431</v>
      </c>
      <c r="AG79" s="9"/>
      <c r="AH79" s="9" t="s">
        <v>61</v>
      </c>
      <c r="AI79" s="9">
        <v>75</v>
      </c>
      <c r="AJ79" s="9">
        <v>100</v>
      </c>
      <c r="AK79" s="9" t="s">
        <v>428</v>
      </c>
      <c r="AL79" s="9">
        <v>12</v>
      </c>
      <c r="AM79" s="9"/>
      <c r="AN79" s="9" t="s">
        <v>103</v>
      </c>
      <c r="AO79" s="9" t="s">
        <v>104</v>
      </c>
      <c r="AP79" s="9" t="s">
        <v>105</v>
      </c>
      <c r="AQ79" s="9" t="s">
        <v>106</v>
      </c>
      <c r="AR79" s="9"/>
      <c r="AS79" s="9" t="s">
        <v>68</v>
      </c>
      <c r="AT79" s="9" t="s">
        <v>69</v>
      </c>
      <c r="AU79" s="9" t="s">
        <v>214</v>
      </c>
      <c r="AV79" s="9">
        <v>29</v>
      </c>
    </row>
    <row r="80" spans="1:48">
      <c r="A80" s="9">
        <f t="shared" si="1"/>
        <v>79</v>
      </c>
      <c r="B80" s="9" t="s">
        <v>425</v>
      </c>
      <c r="C80" s="9" t="s">
        <v>432</v>
      </c>
      <c r="D80" s="9">
        <v>1</v>
      </c>
      <c r="E80" s="9">
        <v>1</v>
      </c>
      <c r="F80" s="9" t="s">
        <v>91</v>
      </c>
      <c r="G80" s="9" t="s">
        <v>433</v>
      </c>
      <c r="H80" s="9"/>
      <c r="I80" s="9"/>
      <c r="J80" s="9" t="s">
        <v>53</v>
      </c>
      <c r="K80" s="9" t="s">
        <v>97</v>
      </c>
      <c r="L80" s="9" t="s">
        <v>113</v>
      </c>
      <c r="M80" s="9" t="s">
        <v>56</v>
      </c>
      <c r="N80" s="9" t="s">
        <v>99</v>
      </c>
      <c r="O80" s="9">
        <v>201</v>
      </c>
      <c r="P80" s="9" t="s">
        <v>58</v>
      </c>
      <c r="Q80" s="9">
        <v>4019.478515625</v>
      </c>
      <c r="R80" s="9">
        <v>83.823</v>
      </c>
      <c r="S80" s="9"/>
      <c r="T80" s="9">
        <v>90</v>
      </c>
      <c r="U80" s="9">
        <v>20</v>
      </c>
      <c r="V80" s="9">
        <v>1</v>
      </c>
      <c r="W80" s="9">
        <v>1</v>
      </c>
      <c r="X80" s="9">
        <v>250</v>
      </c>
      <c r="Y80" s="9">
        <v>127.75324</v>
      </c>
      <c r="Z80" s="9">
        <v>3</v>
      </c>
      <c r="AA80" s="9">
        <v>640</v>
      </c>
      <c r="AB80" s="9">
        <v>640</v>
      </c>
      <c r="AC80" s="9" t="s">
        <v>100</v>
      </c>
      <c r="AD80" s="9">
        <v>3</v>
      </c>
      <c r="AE80" s="9">
        <v>3.3</v>
      </c>
      <c r="AF80" s="9" t="s">
        <v>135</v>
      </c>
      <c r="AG80" s="9"/>
      <c r="AH80" s="9" t="s">
        <v>77</v>
      </c>
      <c r="AI80" s="9">
        <v>100</v>
      </c>
      <c r="AJ80" s="9">
        <v>100</v>
      </c>
      <c r="AK80" s="9" t="s">
        <v>434</v>
      </c>
      <c r="AL80" s="9">
        <v>22</v>
      </c>
      <c r="AM80" s="9"/>
      <c r="AN80" s="9" t="s">
        <v>103</v>
      </c>
      <c r="AO80" s="9" t="s">
        <v>104</v>
      </c>
      <c r="AP80" s="9" t="s">
        <v>105</v>
      </c>
      <c r="AQ80" s="9" t="s">
        <v>106</v>
      </c>
      <c r="AR80" s="9"/>
      <c r="AS80" s="9" t="s">
        <v>68</v>
      </c>
      <c r="AT80" s="9" t="s">
        <v>69</v>
      </c>
      <c r="AU80" s="9" t="s">
        <v>214</v>
      </c>
      <c r="AV80" s="9">
        <v>40</v>
      </c>
    </row>
    <row r="81" spans="1:48">
      <c r="A81" s="9">
        <f t="shared" si="1"/>
        <v>80</v>
      </c>
      <c r="B81" s="9" t="s">
        <v>425</v>
      </c>
      <c r="C81" s="9" t="s">
        <v>435</v>
      </c>
      <c r="D81" s="9">
        <v>0</v>
      </c>
      <c r="E81" s="9">
        <v>0</v>
      </c>
      <c r="F81" s="9" t="s">
        <v>91</v>
      </c>
      <c r="G81" s="9" t="s">
        <v>436</v>
      </c>
      <c r="H81" s="9"/>
      <c r="I81" s="9"/>
      <c r="J81" s="9" t="s">
        <v>437</v>
      </c>
      <c r="K81" s="9" t="s">
        <v>438</v>
      </c>
      <c r="L81" s="9" t="s">
        <v>98</v>
      </c>
      <c r="M81" s="9" t="s">
        <v>56</v>
      </c>
      <c r="N81" s="9" t="s">
        <v>439</v>
      </c>
      <c r="O81" s="9">
        <v>401</v>
      </c>
      <c r="P81" s="9" t="s">
        <v>58</v>
      </c>
      <c r="Q81" s="9">
        <v>500</v>
      </c>
      <c r="R81" s="9">
        <v>9.21</v>
      </c>
      <c r="S81" s="9"/>
      <c r="T81" s="9">
        <v>25</v>
      </c>
      <c r="U81" s="9">
        <v>1</v>
      </c>
      <c r="V81" s="9">
        <v>1</v>
      </c>
      <c r="W81" s="9">
        <v>1</v>
      </c>
      <c r="X81" s="9">
        <v>217</v>
      </c>
      <c r="Y81" s="9">
        <v>127.753264</v>
      </c>
      <c r="Z81" s="9">
        <v>3</v>
      </c>
      <c r="AA81" s="9">
        <v>560</v>
      </c>
      <c r="AB81" s="9">
        <v>560</v>
      </c>
      <c r="AC81" s="9" t="s">
        <v>440</v>
      </c>
      <c r="AD81" s="9">
        <v>3</v>
      </c>
      <c r="AE81" s="9">
        <v>3.3</v>
      </c>
      <c r="AF81" s="9" t="s">
        <v>441</v>
      </c>
      <c r="AG81" s="9"/>
      <c r="AH81" s="9" t="s">
        <v>61</v>
      </c>
      <c r="AI81" s="10">
        <v>90.441177368164</v>
      </c>
      <c r="AJ81" s="9">
        <v>100</v>
      </c>
      <c r="AK81" s="9" t="s">
        <v>434</v>
      </c>
      <c r="AL81" s="9">
        <v>7</v>
      </c>
      <c r="AM81" s="9"/>
      <c r="AN81" s="9" t="s">
        <v>103</v>
      </c>
      <c r="AO81" s="9" t="s">
        <v>104</v>
      </c>
      <c r="AP81" s="9" t="s">
        <v>105</v>
      </c>
      <c r="AQ81" s="9" t="s">
        <v>106</v>
      </c>
      <c r="AR81" s="9"/>
      <c r="AS81" s="9" t="s">
        <v>68</v>
      </c>
      <c r="AT81" s="9" t="s">
        <v>69</v>
      </c>
      <c r="AU81" s="9"/>
      <c r="AV81" s="9">
        <v>32</v>
      </c>
    </row>
    <row r="82" spans="1:48">
      <c r="A82" s="9">
        <f t="shared" si="1"/>
        <v>81</v>
      </c>
      <c r="B82" s="9" t="s">
        <v>425</v>
      </c>
      <c r="C82" s="9" t="s">
        <v>442</v>
      </c>
      <c r="D82" s="9">
        <v>1</v>
      </c>
      <c r="E82" s="9">
        <v>1</v>
      </c>
      <c r="F82" s="9" t="s">
        <v>72</v>
      </c>
      <c r="G82" s="9" t="s">
        <v>443</v>
      </c>
      <c r="H82" s="9"/>
      <c r="I82" s="9"/>
      <c r="J82" s="9" t="s">
        <v>53</v>
      </c>
      <c r="K82" s="9" t="s">
        <v>97</v>
      </c>
      <c r="L82" s="9" t="s">
        <v>113</v>
      </c>
      <c r="M82" s="9" t="s">
        <v>56</v>
      </c>
      <c r="N82" s="9" t="s">
        <v>99</v>
      </c>
      <c r="O82" s="9">
        <v>1001</v>
      </c>
      <c r="P82" s="9" t="s">
        <v>58</v>
      </c>
      <c r="Q82" s="9">
        <v>2500</v>
      </c>
      <c r="R82" s="9">
        <v>75</v>
      </c>
      <c r="S82" s="9"/>
      <c r="T82" s="9">
        <v>90</v>
      </c>
      <c r="U82" s="9">
        <v>18</v>
      </c>
      <c r="V82" s="9">
        <v>1</v>
      </c>
      <c r="W82" s="9">
        <v>2</v>
      </c>
      <c r="X82" s="9">
        <v>218</v>
      </c>
      <c r="Y82" s="9">
        <v>127.753216</v>
      </c>
      <c r="Z82" s="9">
        <v>3</v>
      </c>
      <c r="AA82" s="9">
        <v>480</v>
      </c>
      <c r="AB82" s="9">
        <v>480</v>
      </c>
      <c r="AC82" s="9" t="s">
        <v>114</v>
      </c>
      <c r="AD82" s="9">
        <v>2.5</v>
      </c>
      <c r="AE82" s="9">
        <v>3</v>
      </c>
      <c r="AF82" s="9" t="s">
        <v>115</v>
      </c>
      <c r="AG82" s="9"/>
      <c r="AH82" s="9" t="s">
        <v>77</v>
      </c>
      <c r="AI82" s="10">
        <v>78.3333358764648</v>
      </c>
      <c r="AJ82" s="9">
        <v>100</v>
      </c>
      <c r="AK82" s="9" t="s">
        <v>444</v>
      </c>
      <c r="AL82" s="9">
        <v>10</v>
      </c>
      <c r="AM82" s="9"/>
      <c r="AN82" s="9" t="s">
        <v>103</v>
      </c>
      <c r="AO82" s="9" t="s">
        <v>104</v>
      </c>
      <c r="AP82" s="9" t="s">
        <v>105</v>
      </c>
      <c r="AQ82" s="9" t="s">
        <v>106</v>
      </c>
      <c r="AR82" s="9"/>
      <c r="AS82" s="9" t="s">
        <v>68</v>
      </c>
      <c r="AT82" s="9" t="s">
        <v>69</v>
      </c>
      <c r="AU82" s="9" t="s">
        <v>214</v>
      </c>
      <c r="AV82" s="9">
        <v>16</v>
      </c>
    </row>
    <row r="83" spans="1:48">
      <c r="A83" s="9">
        <f t="shared" si="1"/>
        <v>82</v>
      </c>
      <c r="B83" s="9" t="s">
        <v>425</v>
      </c>
      <c r="C83" s="9" t="s">
        <v>445</v>
      </c>
      <c r="D83" s="9">
        <v>0</v>
      </c>
      <c r="E83" s="9">
        <v>0</v>
      </c>
      <c r="F83" s="9" t="s">
        <v>72</v>
      </c>
      <c r="G83" s="9" t="s">
        <v>446</v>
      </c>
      <c r="H83" s="9"/>
      <c r="I83" s="9"/>
      <c r="J83" s="9" t="s">
        <v>53</v>
      </c>
      <c r="K83" s="9" t="s">
        <v>97</v>
      </c>
      <c r="L83" s="9" t="s">
        <v>98</v>
      </c>
      <c r="M83" s="9" t="s">
        <v>56</v>
      </c>
      <c r="N83" s="9" t="s">
        <v>99</v>
      </c>
      <c r="O83" s="9">
        <v>901</v>
      </c>
      <c r="P83" s="9" t="s">
        <v>58</v>
      </c>
      <c r="Q83" s="10">
        <v>519.12451171875</v>
      </c>
      <c r="R83" s="9">
        <v>10</v>
      </c>
      <c r="S83" s="9"/>
      <c r="T83" s="9">
        <v>90</v>
      </c>
      <c r="U83" s="9">
        <v>3</v>
      </c>
      <c r="V83" s="9">
        <v>1</v>
      </c>
      <c r="W83" s="9">
        <v>2</v>
      </c>
      <c r="X83" s="9">
        <v>362</v>
      </c>
      <c r="Y83" s="9">
        <v>127.753264</v>
      </c>
      <c r="Z83" s="9">
        <v>3</v>
      </c>
      <c r="AA83" s="9">
        <v>704</v>
      </c>
      <c r="AB83" s="9">
        <v>704</v>
      </c>
      <c r="AC83" s="9" t="s">
        <v>109</v>
      </c>
      <c r="AD83" s="9">
        <v>3</v>
      </c>
      <c r="AE83" s="9">
        <v>3.3</v>
      </c>
      <c r="AF83" s="9" t="s">
        <v>447</v>
      </c>
      <c r="AG83" s="9"/>
      <c r="AH83" s="9" t="s">
        <v>77</v>
      </c>
      <c r="AI83" s="10">
        <v>88.2022476196289</v>
      </c>
      <c r="AJ83" s="9">
        <v>100</v>
      </c>
      <c r="AK83" s="9" t="s">
        <v>448</v>
      </c>
      <c r="AL83" s="9">
        <v>5</v>
      </c>
      <c r="AM83" s="9"/>
      <c r="AN83" s="9" t="s">
        <v>103</v>
      </c>
      <c r="AO83" s="9" t="s">
        <v>104</v>
      </c>
      <c r="AP83" s="9" t="s">
        <v>105</v>
      </c>
      <c r="AQ83" s="9" t="s">
        <v>106</v>
      </c>
      <c r="AR83" s="9"/>
      <c r="AS83" s="9" t="s">
        <v>68</v>
      </c>
      <c r="AT83" s="9" t="s">
        <v>69</v>
      </c>
      <c r="AU83" s="9" t="s">
        <v>214</v>
      </c>
      <c r="AV83" s="9">
        <v>30</v>
      </c>
    </row>
    <row r="84" spans="1:48">
      <c r="A84" s="9">
        <f t="shared" si="1"/>
        <v>83</v>
      </c>
      <c r="B84" s="9" t="s">
        <v>425</v>
      </c>
      <c r="C84" s="9" t="s">
        <v>449</v>
      </c>
      <c r="D84" s="9">
        <v>1</v>
      </c>
      <c r="E84" s="9">
        <v>1</v>
      </c>
      <c r="F84" s="9" t="s">
        <v>72</v>
      </c>
      <c r="G84" s="9" t="s">
        <v>450</v>
      </c>
      <c r="H84" s="9"/>
      <c r="I84" s="9"/>
      <c r="J84" s="9" t="s">
        <v>53</v>
      </c>
      <c r="K84" s="9" t="s">
        <v>97</v>
      </c>
      <c r="L84" s="9" t="s">
        <v>113</v>
      </c>
      <c r="M84" s="9" t="s">
        <v>56</v>
      </c>
      <c r="N84" s="9" t="s">
        <v>99</v>
      </c>
      <c r="O84" s="9">
        <v>801</v>
      </c>
      <c r="P84" s="9" t="s">
        <v>58</v>
      </c>
      <c r="Q84" s="10">
        <v>2500.00048828125</v>
      </c>
      <c r="R84" s="9">
        <v>30</v>
      </c>
      <c r="S84" s="9"/>
      <c r="T84" s="9">
        <v>90</v>
      </c>
      <c r="U84" s="9">
        <v>10</v>
      </c>
      <c r="V84" s="9">
        <v>1</v>
      </c>
      <c r="W84" s="9">
        <v>2</v>
      </c>
      <c r="X84" s="9">
        <v>334</v>
      </c>
      <c r="Y84" s="9">
        <v>127.75324</v>
      </c>
      <c r="Z84" s="9">
        <v>3</v>
      </c>
      <c r="AA84" s="9">
        <v>640</v>
      </c>
      <c r="AB84" s="9">
        <v>640</v>
      </c>
      <c r="AC84" s="9" t="s">
        <v>100</v>
      </c>
      <c r="AD84" s="9">
        <v>3</v>
      </c>
      <c r="AE84" s="9">
        <v>3.3</v>
      </c>
      <c r="AF84" s="9" t="s">
        <v>451</v>
      </c>
      <c r="AG84" s="9"/>
      <c r="AH84" s="9" t="s">
        <v>77</v>
      </c>
      <c r="AI84" s="10">
        <v>86.5168533325195</v>
      </c>
      <c r="AJ84" s="9">
        <v>100</v>
      </c>
      <c r="AK84" s="9" t="s">
        <v>448</v>
      </c>
      <c r="AL84" s="9">
        <v>20</v>
      </c>
      <c r="AM84" s="9"/>
      <c r="AN84" s="9" t="s">
        <v>103</v>
      </c>
      <c r="AO84" s="9" t="s">
        <v>104</v>
      </c>
      <c r="AP84" s="9" t="s">
        <v>105</v>
      </c>
      <c r="AQ84" s="9" t="s">
        <v>106</v>
      </c>
      <c r="AR84" s="9"/>
      <c r="AS84" s="9" t="s">
        <v>68</v>
      </c>
      <c r="AT84" s="9" t="s">
        <v>69</v>
      </c>
      <c r="AU84" s="9" t="s">
        <v>214</v>
      </c>
      <c r="AV84" s="9">
        <v>30</v>
      </c>
    </row>
    <row r="85" spans="1:48">
      <c r="A85" s="9">
        <f t="shared" si="1"/>
        <v>84</v>
      </c>
      <c r="B85" s="9" t="s">
        <v>425</v>
      </c>
      <c r="C85" s="9" t="s">
        <v>452</v>
      </c>
      <c r="D85" s="9">
        <v>0</v>
      </c>
      <c r="E85" s="9">
        <v>0</v>
      </c>
      <c r="F85" s="9" t="s">
        <v>50</v>
      </c>
      <c r="G85" s="9" t="s">
        <v>453</v>
      </c>
      <c r="H85" s="9"/>
      <c r="I85" s="9"/>
      <c r="J85" s="9" t="s">
        <v>53</v>
      </c>
      <c r="K85" s="9" t="s">
        <v>97</v>
      </c>
      <c r="L85" s="9" t="s">
        <v>98</v>
      </c>
      <c r="M85" s="9" t="s">
        <v>56</v>
      </c>
      <c r="N85" s="9" t="s">
        <v>99</v>
      </c>
      <c r="O85" s="9">
        <v>701</v>
      </c>
      <c r="P85" s="9" t="s">
        <v>58</v>
      </c>
      <c r="Q85" s="10">
        <v>647.107482910156</v>
      </c>
      <c r="R85" s="9">
        <v>11</v>
      </c>
      <c r="S85" s="9"/>
      <c r="T85" s="9">
        <v>90</v>
      </c>
      <c r="U85" s="9">
        <v>3</v>
      </c>
      <c r="V85" s="9">
        <v>1</v>
      </c>
      <c r="W85" s="9">
        <v>1</v>
      </c>
      <c r="X85" s="9">
        <v>313</v>
      </c>
      <c r="Y85" s="9">
        <v>127.753264</v>
      </c>
      <c r="Z85" s="9">
        <v>3</v>
      </c>
      <c r="AA85" s="9">
        <v>512</v>
      </c>
      <c r="AB85" s="9">
        <v>512</v>
      </c>
      <c r="AC85" s="9" t="s">
        <v>127</v>
      </c>
      <c r="AD85" s="9">
        <v>3</v>
      </c>
      <c r="AE85" s="9">
        <v>3.3</v>
      </c>
      <c r="AF85" s="9" t="s">
        <v>454</v>
      </c>
      <c r="AG85" s="9"/>
      <c r="AH85" s="9" t="s">
        <v>61</v>
      </c>
      <c r="AI85" s="10">
        <v>83.2653045654296</v>
      </c>
      <c r="AJ85" s="9">
        <v>100</v>
      </c>
      <c r="AK85" s="9" t="s">
        <v>428</v>
      </c>
      <c r="AL85" s="9">
        <v>9</v>
      </c>
      <c r="AM85" s="9"/>
      <c r="AN85" s="9" t="s">
        <v>103</v>
      </c>
      <c r="AO85" s="9" t="s">
        <v>104</v>
      </c>
      <c r="AP85" s="9" t="s">
        <v>105</v>
      </c>
      <c r="AQ85" s="9" t="s">
        <v>106</v>
      </c>
      <c r="AR85" s="9"/>
      <c r="AS85" s="9" t="s">
        <v>68</v>
      </c>
      <c r="AT85" s="9" t="s">
        <v>69</v>
      </c>
      <c r="AU85" s="9" t="s">
        <v>214</v>
      </c>
      <c r="AV85" s="9">
        <v>29</v>
      </c>
    </row>
    <row r="86" spans="1:48">
      <c r="A86" s="9">
        <f t="shared" si="1"/>
        <v>85</v>
      </c>
      <c r="B86" s="9" t="s">
        <v>425</v>
      </c>
      <c r="C86" s="9" t="s">
        <v>455</v>
      </c>
      <c r="D86" s="9">
        <v>0</v>
      </c>
      <c r="E86" s="9">
        <v>0</v>
      </c>
      <c r="F86" s="9" t="s">
        <v>91</v>
      </c>
      <c r="G86" s="9" t="s">
        <v>456</v>
      </c>
      <c r="H86" s="9"/>
      <c r="I86" s="9"/>
      <c r="J86" s="9" t="s">
        <v>53</v>
      </c>
      <c r="K86" s="9" t="s">
        <v>97</v>
      </c>
      <c r="L86" s="9" t="s">
        <v>98</v>
      </c>
      <c r="M86" s="9" t="s">
        <v>56</v>
      </c>
      <c r="N86" s="9" t="s">
        <v>99</v>
      </c>
      <c r="O86" s="9">
        <v>301</v>
      </c>
      <c r="P86" s="9" t="s">
        <v>58</v>
      </c>
      <c r="Q86" s="9">
        <v>543.7490234375</v>
      </c>
      <c r="R86" s="9">
        <v>11</v>
      </c>
      <c r="S86" s="9"/>
      <c r="T86" s="9">
        <v>90</v>
      </c>
      <c r="U86" s="9">
        <v>4</v>
      </c>
      <c r="V86" s="9">
        <v>1</v>
      </c>
      <c r="W86" s="9">
        <v>1</v>
      </c>
      <c r="X86" s="9">
        <v>292</v>
      </c>
      <c r="Y86" s="9">
        <v>127.753264</v>
      </c>
      <c r="Z86" s="9">
        <v>3</v>
      </c>
      <c r="AA86" s="9">
        <v>704</v>
      </c>
      <c r="AB86" s="9">
        <v>704</v>
      </c>
      <c r="AC86" s="9" t="s">
        <v>109</v>
      </c>
      <c r="AD86" s="9">
        <v>3</v>
      </c>
      <c r="AE86" s="9">
        <v>3.3</v>
      </c>
      <c r="AF86" s="9" t="s">
        <v>139</v>
      </c>
      <c r="AG86" s="9"/>
      <c r="AH86" s="9" t="s">
        <v>77</v>
      </c>
      <c r="AI86" s="9">
        <v>87.5</v>
      </c>
      <c r="AJ86" s="9">
        <v>100</v>
      </c>
      <c r="AK86" s="9" t="s">
        <v>434</v>
      </c>
      <c r="AL86" s="9">
        <v>40</v>
      </c>
      <c r="AM86" s="9"/>
      <c r="AN86" s="9" t="s">
        <v>103</v>
      </c>
      <c r="AO86" s="9" t="s">
        <v>104</v>
      </c>
      <c r="AP86" s="9" t="s">
        <v>105</v>
      </c>
      <c r="AQ86" s="9" t="s">
        <v>106</v>
      </c>
      <c r="AR86" s="9"/>
      <c r="AS86" s="9" t="s">
        <v>68</v>
      </c>
      <c r="AT86" s="9" t="s">
        <v>69</v>
      </c>
      <c r="AU86" s="9" t="s">
        <v>214</v>
      </c>
      <c r="AV86" s="9">
        <v>40</v>
      </c>
    </row>
    <row r="87" spans="1:48">
      <c r="A87" s="9">
        <f t="shared" si="1"/>
        <v>86</v>
      </c>
      <c r="B87" s="9" t="s">
        <v>457</v>
      </c>
      <c r="C87" s="9" t="s">
        <v>458</v>
      </c>
      <c r="D87" s="9">
        <v>0</v>
      </c>
      <c r="E87" s="9">
        <v>0</v>
      </c>
      <c r="F87" s="9" t="s">
        <v>50</v>
      </c>
      <c r="G87" s="9" t="s">
        <v>459</v>
      </c>
      <c r="H87" s="9"/>
      <c r="I87" s="9" t="s">
        <v>460</v>
      </c>
      <c r="J87" s="9" t="s">
        <v>437</v>
      </c>
      <c r="K87" s="9" t="s">
        <v>461</v>
      </c>
      <c r="L87" s="9"/>
      <c r="M87" s="9" t="s">
        <v>56</v>
      </c>
      <c r="N87" s="9" t="s">
        <v>462</v>
      </c>
      <c r="O87" s="9">
        <v>7</v>
      </c>
      <c r="P87" s="9" t="s">
        <v>58</v>
      </c>
      <c r="Q87" s="9">
        <v>530</v>
      </c>
      <c r="R87" s="9">
        <v>26</v>
      </c>
      <c r="S87" s="9"/>
      <c r="T87" s="9">
        <v>30</v>
      </c>
      <c r="U87" s="9">
        <v>1</v>
      </c>
      <c r="V87" s="9">
        <v>0</v>
      </c>
      <c r="W87" s="9">
        <v>1</v>
      </c>
      <c r="X87" s="9">
        <v>100</v>
      </c>
      <c r="Y87" s="9">
        <v>63.686298</v>
      </c>
      <c r="Z87" s="9">
        <v>1.5</v>
      </c>
      <c r="AA87" s="9">
        <v>512</v>
      </c>
      <c r="AB87" s="9">
        <v>512</v>
      </c>
      <c r="AC87" s="9" t="s">
        <v>127</v>
      </c>
      <c r="AD87" s="9">
        <v>3</v>
      </c>
      <c r="AE87" s="9">
        <v>4.05</v>
      </c>
      <c r="AF87" s="9" t="s">
        <v>325</v>
      </c>
      <c r="AG87" s="9"/>
      <c r="AH87" s="9" t="s">
        <v>77</v>
      </c>
      <c r="AI87" s="9">
        <v>100</v>
      </c>
      <c r="AJ87" s="9">
        <v>100</v>
      </c>
      <c r="AK87" s="9" t="s">
        <v>463</v>
      </c>
      <c r="AL87" s="9">
        <v>14</v>
      </c>
      <c r="AM87" s="9"/>
      <c r="AN87" s="9" t="s">
        <v>210</v>
      </c>
      <c r="AO87" s="9" t="s">
        <v>464</v>
      </c>
      <c r="AP87" s="9" t="s">
        <v>465</v>
      </c>
      <c r="AQ87" s="9"/>
      <c r="AR87" s="9" t="s">
        <v>466</v>
      </c>
      <c r="AS87" s="9"/>
      <c r="AT87" s="9" t="s">
        <v>69</v>
      </c>
      <c r="AU87" s="9"/>
      <c r="AV87" s="9">
        <v>23</v>
      </c>
    </row>
    <row r="88" spans="1:48">
      <c r="A88" s="9">
        <f t="shared" si="1"/>
        <v>87</v>
      </c>
      <c r="B88" s="9" t="s">
        <v>457</v>
      </c>
      <c r="C88" s="9" t="s">
        <v>467</v>
      </c>
      <c r="D88" s="9">
        <v>1</v>
      </c>
      <c r="E88" s="9">
        <v>1</v>
      </c>
      <c r="F88" s="9" t="s">
        <v>91</v>
      </c>
      <c r="G88" s="9" t="s">
        <v>468</v>
      </c>
      <c r="H88" s="9"/>
      <c r="I88" s="9" t="s">
        <v>342</v>
      </c>
      <c r="J88" s="9" t="s">
        <v>53</v>
      </c>
      <c r="K88" s="9" t="s">
        <v>206</v>
      </c>
      <c r="L88" s="9" t="s">
        <v>113</v>
      </c>
      <c r="M88" s="9" t="s">
        <v>56</v>
      </c>
      <c r="N88" s="9" t="s">
        <v>462</v>
      </c>
      <c r="O88" s="9">
        <v>3</v>
      </c>
      <c r="P88" s="9" t="s">
        <v>58</v>
      </c>
      <c r="Q88" s="9">
        <v>3500</v>
      </c>
      <c r="R88" s="9">
        <v>14</v>
      </c>
      <c r="S88" s="9"/>
      <c r="T88" s="9">
        <v>150</v>
      </c>
      <c r="U88" s="9">
        <v>9</v>
      </c>
      <c r="V88" s="9">
        <v>0</v>
      </c>
      <c r="W88" s="9">
        <v>1</v>
      </c>
      <c r="X88" s="9">
        <v>130</v>
      </c>
      <c r="Y88" s="9">
        <v>63.686302</v>
      </c>
      <c r="Z88" s="9">
        <v>1.5</v>
      </c>
      <c r="AA88" s="9">
        <v>384</v>
      </c>
      <c r="AB88" s="9">
        <v>384</v>
      </c>
      <c r="AC88" s="9" t="s">
        <v>469</v>
      </c>
      <c r="AD88" s="9">
        <v>4</v>
      </c>
      <c r="AE88" s="9">
        <v>5.2</v>
      </c>
      <c r="AF88" s="9" t="s">
        <v>470</v>
      </c>
      <c r="AG88" s="9"/>
      <c r="AH88" s="9" t="s">
        <v>77</v>
      </c>
      <c r="AI88" s="9">
        <v>100</v>
      </c>
      <c r="AJ88" s="9">
        <v>100</v>
      </c>
      <c r="AK88" s="9" t="s">
        <v>471</v>
      </c>
      <c r="AL88" s="9">
        <v>17</v>
      </c>
      <c r="AM88" s="9"/>
      <c r="AN88" s="9" t="s">
        <v>210</v>
      </c>
      <c r="AO88" s="9" t="s">
        <v>464</v>
      </c>
      <c r="AP88" s="9" t="s">
        <v>465</v>
      </c>
      <c r="AQ88" s="9"/>
      <c r="AR88" s="9" t="s">
        <v>466</v>
      </c>
      <c r="AS88" s="9"/>
      <c r="AT88" s="9" t="s">
        <v>69</v>
      </c>
      <c r="AU88" s="9"/>
      <c r="AV88" s="9">
        <v>20</v>
      </c>
    </row>
    <row r="89" spans="1:48">
      <c r="A89" s="9">
        <f t="shared" si="1"/>
        <v>88</v>
      </c>
      <c r="B89" s="9" t="s">
        <v>457</v>
      </c>
      <c r="C89" s="9" t="s">
        <v>472</v>
      </c>
      <c r="D89" s="9">
        <v>1</v>
      </c>
      <c r="E89" s="9">
        <v>1</v>
      </c>
      <c r="F89" s="9" t="s">
        <v>72</v>
      </c>
      <c r="G89" s="9" t="s">
        <v>473</v>
      </c>
      <c r="H89" s="9"/>
      <c r="I89" s="9" t="s">
        <v>342</v>
      </c>
      <c r="J89" s="9" t="s">
        <v>53</v>
      </c>
      <c r="K89" s="9" t="s">
        <v>206</v>
      </c>
      <c r="L89" s="9" t="s">
        <v>113</v>
      </c>
      <c r="M89" s="9" t="s">
        <v>56</v>
      </c>
      <c r="N89" s="9" t="s">
        <v>462</v>
      </c>
      <c r="O89" s="9">
        <v>4</v>
      </c>
      <c r="P89" s="9" t="s">
        <v>58</v>
      </c>
      <c r="Q89" s="9">
        <v>3500</v>
      </c>
      <c r="R89" s="9">
        <v>14</v>
      </c>
      <c r="S89" s="9"/>
      <c r="T89" s="9">
        <v>150</v>
      </c>
      <c r="U89" s="9">
        <v>9</v>
      </c>
      <c r="V89" s="9">
        <v>0</v>
      </c>
      <c r="W89" s="9">
        <v>1</v>
      </c>
      <c r="X89" s="9">
        <v>130</v>
      </c>
      <c r="Y89" s="9">
        <v>63.686289</v>
      </c>
      <c r="Z89" s="9">
        <v>1.5</v>
      </c>
      <c r="AA89" s="9">
        <v>384</v>
      </c>
      <c r="AB89" s="9">
        <v>384</v>
      </c>
      <c r="AC89" s="9" t="s">
        <v>469</v>
      </c>
      <c r="AD89" s="9">
        <v>4</v>
      </c>
      <c r="AE89" s="9">
        <v>4.4</v>
      </c>
      <c r="AF89" s="9" t="s">
        <v>470</v>
      </c>
      <c r="AG89" s="9"/>
      <c r="AH89" s="9" t="s">
        <v>77</v>
      </c>
      <c r="AI89" s="9">
        <v>100</v>
      </c>
      <c r="AJ89" s="9">
        <v>100</v>
      </c>
      <c r="AK89" s="9" t="s">
        <v>474</v>
      </c>
      <c r="AL89" s="9">
        <v>12</v>
      </c>
      <c r="AM89" s="9"/>
      <c r="AN89" s="9" t="s">
        <v>210</v>
      </c>
      <c r="AO89" s="9" t="s">
        <v>464</v>
      </c>
      <c r="AP89" s="9" t="s">
        <v>465</v>
      </c>
      <c r="AQ89" s="9"/>
      <c r="AR89" s="9" t="s">
        <v>466</v>
      </c>
      <c r="AS89" s="9"/>
      <c r="AT89" s="9" t="s">
        <v>69</v>
      </c>
      <c r="AU89" s="9"/>
      <c r="AV89" s="9">
        <v>20</v>
      </c>
    </row>
    <row r="90" spans="1:48">
      <c r="A90" s="9">
        <f t="shared" si="1"/>
        <v>89</v>
      </c>
      <c r="B90" s="9" t="s">
        <v>457</v>
      </c>
      <c r="C90" s="9" t="s">
        <v>475</v>
      </c>
      <c r="D90" s="9">
        <v>0</v>
      </c>
      <c r="E90" s="9">
        <v>0</v>
      </c>
      <c r="F90" s="9" t="s">
        <v>72</v>
      </c>
      <c r="G90" s="9" t="s">
        <v>265</v>
      </c>
      <c r="H90" s="9"/>
      <c r="I90" s="9" t="s">
        <v>266</v>
      </c>
      <c r="J90" s="9" t="s">
        <v>53</v>
      </c>
      <c r="K90" s="9" t="s">
        <v>267</v>
      </c>
      <c r="L90" s="9"/>
      <c r="M90" s="9" t="s">
        <v>56</v>
      </c>
      <c r="N90" s="9" t="s">
        <v>462</v>
      </c>
      <c r="O90" s="9">
        <v>5</v>
      </c>
      <c r="P90" s="9" t="s">
        <v>58</v>
      </c>
      <c r="Q90" s="9">
        <v>456</v>
      </c>
      <c r="R90" s="9">
        <v>14</v>
      </c>
      <c r="S90" s="9"/>
      <c r="T90" s="9">
        <v>90</v>
      </c>
      <c r="U90" s="9">
        <v>1</v>
      </c>
      <c r="V90" s="9">
        <v>0</v>
      </c>
      <c r="W90" s="9">
        <v>1</v>
      </c>
      <c r="X90" s="9">
        <v>90</v>
      </c>
      <c r="Y90" s="9">
        <v>63.686334</v>
      </c>
      <c r="Z90" s="9">
        <v>1.5</v>
      </c>
      <c r="AA90" s="9">
        <v>640</v>
      </c>
      <c r="AB90" s="9">
        <v>640</v>
      </c>
      <c r="AC90" s="9" t="s">
        <v>100</v>
      </c>
      <c r="AD90" s="9">
        <v>4</v>
      </c>
      <c r="AE90" s="9">
        <v>5.2</v>
      </c>
      <c r="AF90" s="9" t="s">
        <v>234</v>
      </c>
      <c r="AG90" s="9"/>
      <c r="AH90" s="9" t="s">
        <v>77</v>
      </c>
      <c r="AI90" s="9">
        <v>80.03472222</v>
      </c>
      <c r="AJ90" s="9">
        <v>100</v>
      </c>
      <c r="AK90" s="9" t="s">
        <v>474</v>
      </c>
      <c r="AL90" s="9">
        <v>13</v>
      </c>
      <c r="AM90" s="9"/>
      <c r="AN90" s="9" t="s">
        <v>210</v>
      </c>
      <c r="AO90" s="9" t="s">
        <v>464</v>
      </c>
      <c r="AP90" s="9" t="s">
        <v>465</v>
      </c>
      <c r="AQ90" s="9"/>
      <c r="AR90" s="9" t="s">
        <v>466</v>
      </c>
      <c r="AS90" s="9"/>
      <c r="AT90" s="9" t="s">
        <v>69</v>
      </c>
      <c r="AU90" s="9"/>
      <c r="AV90" s="9">
        <v>16</v>
      </c>
    </row>
    <row r="91" spans="1:48">
      <c r="A91" s="9">
        <f t="shared" si="1"/>
        <v>90</v>
      </c>
      <c r="B91" s="9" t="s">
        <v>457</v>
      </c>
      <c r="C91" s="9" t="s">
        <v>476</v>
      </c>
      <c r="D91" s="9">
        <v>1</v>
      </c>
      <c r="E91" s="9">
        <v>1</v>
      </c>
      <c r="F91" s="9" t="s">
        <v>50</v>
      </c>
      <c r="G91" s="9" t="s">
        <v>477</v>
      </c>
      <c r="H91" s="9"/>
      <c r="I91" s="9" t="s">
        <v>478</v>
      </c>
      <c r="J91" s="9" t="s">
        <v>53</v>
      </c>
      <c r="K91" s="9" t="s">
        <v>206</v>
      </c>
      <c r="L91" s="9" t="s">
        <v>113</v>
      </c>
      <c r="M91" s="9" t="s">
        <v>56</v>
      </c>
      <c r="N91" s="9" t="s">
        <v>462</v>
      </c>
      <c r="O91" s="9">
        <v>6</v>
      </c>
      <c r="P91" s="9" t="s">
        <v>58</v>
      </c>
      <c r="Q91" s="9">
        <v>2000</v>
      </c>
      <c r="R91" s="9">
        <v>41</v>
      </c>
      <c r="S91" s="9"/>
      <c r="T91" s="9">
        <v>150</v>
      </c>
      <c r="U91" s="9">
        <v>5</v>
      </c>
      <c r="V91" s="9">
        <v>0</v>
      </c>
      <c r="W91" s="9">
        <v>1</v>
      </c>
      <c r="X91" s="9">
        <v>130</v>
      </c>
      <c r="Y91" s="9">
        <v>63.6863</v>
      </c>
      <c r="Z91" s="9">
        <v>1.5</v>
      </c>
      <c r="AA91" s="9">
        <v>384</v>
      </c>
      <c r="AB91" s="9">
        <v>384</v>
      </c>
      <c r="AC91" s="9" t="s">
        <v>469</v>
      </c>
      <c r="AD91" s="9">
        <v>4</v>
      </c>
      <c r="AE91" s="9">
        <v>4.4</v>
      </c>
      <c r="AF91" s="9" t="s">
        <v>470</v>
      </c>
      <c r="AG91" s="9"/>
      <c r="AH91" s="9" t="s">
        <v>77</v>
      </c>
      <c r="AI91" s="9">
        <v>100</v>
      </c>
      <c r="AJ91" s="9">
        <v>100</v>
      </c>
      <c r="AK91" s="9" t="s">
        <v>463</v>
      </c>
      <c r="AL91" s="9">
        <v>10</v>
      </c>
      <c r="AM91" s="9"/>
      <c r="AN91" s="9" t="s">
        <v>210</v>
      </c>
      <c r="AO91" s="9" t="s">
        <v>464</v>
      </c>
      <c r="AP91" s="9" t="s">
        <v>465</v>
      </c>
      <c r="AQ91" s="9"/>
      <c r="AR91" s="9" t="s">
        <v>466</v>
      </c>
      <c r="AS91" s="9"/>
      <c r="AT91" s="9" t="s">
        <v>69</v>
      </c>
      <c r="AU91" s="9"/>
      <c r="AV91" s="9">
        <v>19</v>
      </c>
    </row>
    <row r="92" spans="1:48">
      <c r="A92" s="9">
        <f t="shared" si="1"/>
        <v>91</v>
      </c>
      <c r="B92" s="9" t="s">
        <v>479</v>
      </c>
      <c r="C92" s="9" t="s">
        <v>480</v>
      </c>
      <c r="D92" s="9">
        <v>0</v>
      </c>
      <c r="E92" s="9">
        <v>0</v>
      </c>
      <c r="F92" s="9" t="s">
        <v>50</v>
      </c>
      <c r="G92" s="9" t="s">
        <v>481</v>
      </c>
      <c r="H92" s="9"/>
      <c r="I92" s="9"/>
      <c r="J92" s="9" t="s">
        <v>53</v>
      </c>
      <c r="K92" s="9" t="s">
        <v>97</v>
      </c>
      <c r="L92" s="9" t="s">
        <v>98</v>
      </c>
      <c r="M92" s="9" t="s">
        <v>56</v>
      </c>
      <c r="N92" s="9" t="s">
        <v>99</v>
      </c>
      <c r="O92" s="9">
        <v>701</v>
      </c>
      <c r="P92" s="9" t="s">
        <v>58</v>
      </c>
      <c r="Q92" s="10">
        <v>3357.26708984375</v>
      </c>
      <c r="R92" s="9">
        <v>30</v>
      </c>
      <c r="S92" s="9"/>
      <c r="T92" s="9">
        <v>90</v>
      </c>
      <c r="U92" s="9">
        <v>10</v>
      </c>
      <c r="V92" s="9">
        <v>1</v>
      </c>
      <c r="W92" s="9">
        <v>1</v>
      </c>
      <c r="X92" s="9">
        <v>311</v>
      </c>
      <c r="Y92" s="9">
        <v>127.755128</v>
      </c>
      <c r="Z92" s="9">
        <v>3</v>
      </c>
      <c r="AA92" s="9">
        <v>400</v>
      </c>
      <c r="AB92" s="9">
        <v>400</v>
      </c>
      <c r="AC92" s="9" t="s">
        <v>482</v>
      </c>
      <c r="AD92" s="9">
        <v>3</v>
      </c>
      <c r="AE92" s="9">
        <v>3.3</v>
      </c>
      <c r="AF92" s="9" t="s">
        <v>483</v>
      </c>
      <c r="AG92" s="9"/>
      <c r="AH92" s="9" t="s">
        <v>61</v>
      </c>
      <c r="AI92" s="10">
        <v>89.9199981689453</v>
      </c>
      <c r="AJ92" s="9">
        <v>100</v>
      </c>
      <c r="AK92" s="9" t="s">
        <v>484</v>
      </c>
      <c r="AL92" s="9">
        <v>31</v>
      </c>
      <c r="AM92" s="9"/>
      <c r="AN92" s="9" t="s">
        <v>400</v>
      </c>
      <c r="AO92" s="9" t="s">
        <v>369</v>
      </c>
      <c r="AP92" s="9" t="s">
        <v>485</v>
      </c>
      <c r="AQ92" s="9" t="s">
        <v>486</v>
      </c>
      <c r="AR92" s="9"/>
      <c r="AS92" s="9" t="s">
        <v>68</v>
      </c>
      <c r="AT92" s="9" t="s">
        <v>69</v>
      </c>
      <c r="AU92" s="9" t="s">
        <v>214</v>
      </c>
      <c r="AV92" s="9">
        <v>33</v>
      </c>
    </row>
    <row r="93" spans="1:48">
      <c r="A93" s="9">
        <f t="shared" si="1"/>
        <v>92</v>
      </c>
      <c r="B93" s="9" t="s">
        <v>479</v>
      </c>
      <c r="C93" s="9" t="s">
        <v>487</v>
      </c>
      <c r="D93" s="9">
        <v>0</v>
      </c>
      <c r="E93" s="9">
        <v>0</v>
      </c>
      <c r="F93" s="9" t="s">
        <v>50</v>
      </c>
      <c r="G93" s="9" t="s">
        <v>481</v>
      </c>
      <c r="H93" s="9"/>
      <c r="I93" s="9"/>
      <c r="J93" s="9" t="s">
        <v>53</v>
      </c>
      <c r="K93" s="9" t="s">
        <v>97</v>
      </c>
      <c r="L93" s="9" t="s">
        <v>98</v>
      </c>
      <c r="M93" s="9" t="s">
        <v>56</v>
      </c>
      <c r="N93" s="9" t="s">
        <v>99</v>
      </c>
      <c r="O93" s="9">
        <v>801</v>
      </c>
      <c r="P93" s="9" t="s">
        <v>58</v>
      </c>
      <c r="Q93" s="10">
        <v>2500.00024414062</v>
      </c>
      <c r="R93" s="9">
        <v>30</v>
      </c>
      <c r="S93" s="9"/>
      <c r="T93" s="9">
        <v>90</v>
      </c>
      <c r="U93" s="9">
        <v>10</v>
      </c>
      <c r="V93" s="9">
        <v>1</v>
      </c>
      <c r="W93" s="9">
        <v>1</v>
      </c>
      <c r="X93" s="9">
        <v>311</v>
      </c>
      <c r="Y93" s="9">
        <v>127.755128</v>
      </c>
      <c r="Z93" s="9">
        <v>3</v>
      </c>
      <c r="AA93" s="9">
        <v>400</v>
      </c>
      <c r="AB93" s="9">
        <v>400</v>
      </c>
      <c r="AC93" s="9" t="s">
        <v>488</v>
      </c>
      <c r="AD93" s="9">
        <v>2</v>
      </c>
      <c r="AE93" s="9">
        <v>2.25</v>
      </c>
      <c r="AF93" s="9" t="s">
        <v>489</v>
      </c>
      <c r="AG93" s="9"/>
      <c r="AH93" s="9" t="s">
        <v>61</v>
      </c>
      <c r="AI93" s="10">
        <v>89.9199981689453</v>
      </c>
      <c r="AJ93" s="9">
        <v>100</v>
      </c>
      <c r="AK93" s="9" t="s">
        <v>490</v>
      </c>
      <c r="AL93" s="9">
        <v>5</v>
      </c>
      <c r="AM93" s="9"/>
      <c r="AN93" s="9" t="s">
        <v>400</v>
      </c>
      <c r="AO93" s="9" t="s">
        <v>369</v>
      </c>
      <c r="AP93" s="9" t="s">
        <v>485</v>
      </c>
      <c r="AQ93" s="9" t="s">
        <v>486</v>
      </c>
      <c r="AR93" s="9"/>
      <c r="AS93" s="9" t="s">
        <v>68</v>
      </c>
      <c r="AT93" s="9" t="s">
        <v>69</v>
      </c>
      <c r="AU93" s="9"/>
      <c r="AV93" s="9">
        <v>11</v>
      </c>
    </row>
    <row r="94" spans="1:48">
      <c r="A94" s="9">
        <f t="shared" si="1"/>
        <v>93</v>
      </c>
      <c r="B94" s="9" t="s">
        <v>479</v>
      </c>
      <c r="C94" s="9" t="s">
        <v>491</v>
      </c>
      <c r="D94" s="9">
        <v>0</v>
      </c>
      <c r="E94" s="9">
        <v>0</v>
      </c>
      <c r="F94" s="9" t="s">
        <v>72</v>
      </c>
      <c r="G94" s="9" t="s">
        <v>492</v>
      </c>
      <c r="H94" s="9"/>
      <c r="I94" s="9"/>
      <c r="J94" s="9" t="s">
        <v>53</v>
      </c>
      <c r="K94" s="9" t="s">
        <v>97</v>
      </c>
      <c r="L94" s="9" t="s">
        <v>98</v>
      </c>
      <c r="M94" s="9" t="s">
        <v>56</v>
      </c>
      <c r="N94" s="9" t="s">
        <v>99</v>
      </c>
      <c r="O94" s="9">
        <v>601</v>
      </c>
      <c r="P94" s="9" t="s">
        <v>58</v>
      </c>
      <c r="Q94" s="10">
        <v>664.940979003906</v>
      </c>
      <c r="R94" s="9">
        <v>10</v>
      </c>
      <c r="S94" s="9"/>
      <c r="T94" s="9">
        <v>90</v>
      </c>
      <c r="U94" s="9">
        <v>3</v>
      </c>
      <c r="V94" s="9">
        <v>1</v>
      </c>
      <c r="W94" s="9">
        <v>1</v>
      </c>
      <c r="X94" s="9">
        <v>362</v>
      </c>
      <c r="Y94" s="9">
        <v>127.755124</v>
      </c>
      <c r="Z94" s="9">
        <v>3</v>
      </c>
      <c r="AA94" s="9">
        <v>704</v>
      </c>
      <c r="AB94" s="9">
        <v>704</v>
      </c>
      <c r="AC94" s="9" t="s">
        <v>109</v>
      </c>
      <c r="AD94" s="9">
        <v>3</v>
      </c>
      <c r="AE94" s="9">
        <v>3.3</v>
      </c>
      <c r="AF94" s="9" t="s">
        <v>110</v>
      </c>
      <c r="AG94" s="9"/>
      <c r="AH94" s="9" t="s">
        <v>77</v>
      </c>
      <c r="AI94" s="9">
        <v>88.1748046875</v>
      </c>
      <c r="AJ94" s="9">
        <v>100</v>
      </c>
      <c r="AK94" s="9" t="s">
        <v>493</v>
      </c>
      <c r="AL94" s="9">
        <v>7</v>
      </c>
      <c r="AM94" s="9"/>
      <c r="AN94" s="9" t="s">
        <v>400</v>
      </c>
      <c r="AO94" s="9" t="s">
        <v>369</v>
      </c>
      <c r="AP94" s="9" t="s">
        <v>485</v>
      </c>
      <c r="AQ94" s="9" t="s">
        <v>486</v>
      </c>
      <c r="AR94" s="9"/>
      <c r="AS94" s="9" t="s">
        <v>68</v>
      </c>
      <c r="AT94" s="9" t="s">
        <v>69</v>
      </c>
      <c r="AU94" s="9"/>
      <c r="AV94" s="9">
        <v>30</v>
      </c>
    </row>
    <row r="95" spans="1:48">
      <c r="A95" s="9">
        <f t="shared" si="1"/>
        <v>94</v>
      </c>
      <c r="B95" s="9" t="s">
        <v>479</v>
      </c>
      <c r="C95" s="9" t="s">
        <v>494</v>
      </c>
      <c r="D95" s="9">
        <v>1</v>
      </c>
      <c r="E95" s="9">
        <v>1</v>
      </c>
      <c r="F95" s="9" t="s">
        <v>72</v>
      </c>
      <c r="G95" s="9" t="s">
        <v>495</v>
      </c>
      <c r="H95" s="9"/>
      <c r="I95" s="9"/>
      <c r="J95" s="9" t="s">
        <v>53</v>
      </c>
      <c r="K95" s="9" t="s">
        <v>97</v>
      </c>
      <c r="L95" s="9" t="s">
        <v>113</v>
      </c>
      <c r="M95" s="9" t="s">
        <v>56</v>
      </c>
      <c r="N95" s="9" t="s">
        <v>99</v>
      </c>
      <c r="O95" s="9">
        <v>501</v>
      </c>
      <c r="P95" s="9" t="s">
        <v>58</v>
      </c>
      <c r="Q95" s="10">
        <v>2575.01708984375</v>
      </c>
      <c r="R95" s="9">
        <v>30</v>
      </c>
      <c r="S95" s="9"/>
      <c r="T95" s="9">
        <v>90</v>
      </c>
      <c r="U95" s="9">
        <v>11</v>
      </c>
      <c r="V95" s="9">
        <v>1</v>
      </c>
      <c r="W95" s="9">
        <v>2</v>
      </c>
      <c r="X95" s="9">
        <v>305</v>
      </c>
      <c r="Y95" s="9">
        <v>127.755241</v>
      </c>
      <c r="Z95" s="9">
        <v>3</v>
      </c>
      <c r="AA95" s="9">
        <v>640</v>
      </c>
      <c r="AB95" s="9">
        <v>640</v>
      </c>
      <c r="AC95" s="9" t="s">
        <v>100</v>
      </c>
      <c r="AD95" s="9">
        <v>3</v>
      </c>
      <c r="AE95" s="9">
        <v>3.3</v>
      </c>
      <c r="AF95" s="9" t="s">
        <v>496</v>
      </c>
      <c r="AG95" s="9"/>
      <c r="AH95" s="9" t="s">
        <v>77</v>
      </c>
      <c r="AI95" s="10">
        <v>86.6323928833007</v>
      </c>
      <c r="AJ95" s="9">
        <v>100</v>
      </c>
      <c r="AK95" s="9" t="s">
        <v>493</v>
      </c>
      <c r="AL95" s="9">
        <v>23</v>
      </c>
      <c r="AM95" s="9"/>
      <c r="AN95" s="9" t="s">
        <v>400</v>
      </c>
      <c r="AO95" s="9" t="s">
        <v>369</v>
      </c>
      <c r="AP95" s="9" t="s">
        <v>485</v>
      </c>
      <c r="AQ95" s="9" t="s">
        <v>486</v>
      </c>
      <c r="AR95" s="9"/>
      <c r="AS95" s="9" t="s">
        <v>68</v>
      </c>
      <c r="AT95" s="9" t="s">
        <v>69</v>
      </c>
      <c r="AU95" s="9"/>
      <c r="AV95" s="9">
        <v>30</v>
      </c>
    </row>
    <row r="96" spans="1:48">
      <c r="A96" s="9">
        <f t="shared" si="1"/>
        <v>95</v>
      </c>
      <c r="B96" s="9" t="s">
        <v>479</v>
      </c>
      <c r="C96" s="9" t="s">
        <v>497</v>
      </c>
      <c r="D96" s="9">
        <v>1</v>
      </c>
      <c r="E96" s="9">
        <v>1</v>
      </c>
      <c r="F96" s="9" t="s">
        <v>50</v>
      </c>
      <c r="G96" s="9" t="s">
        <v>498</v>
      </c>
      <c r="H96" s="9"/>
      <c r="I96" s="9"/>
      <c r="J96" s="9" t="s">
        <v>53</v>
      </c>
      <c r="K96" s="9" t="s">
        <v>97</v>
      </c>
      <c r="L96" s="9" t="s">
        <v>113</v>
      </c>
      <c r="M96" s="9" t="s">
        <v>56</v>
      </c>
      <c r="N96" s="9" t="s">
        <v>99</v>
      </c>
      <c r="O96" s="9">
        <v>301</v>
      </c>
      <c r="P96" s="9" t="s">
        <v>58</v>
      </c>
      <c r="Q96" s="10">
        <v>3625.73754882812</v>
      </c>
      <c r="R96" s="9">
        <v>30</v>
      </c>
      <c r="S96" s="9"/>
      <c r="T96" s="9">
        <v>90</v>
      </c>
      <c r="U96" s="9">
        <v>11</v>
      </c>
      <c r="V96" s="9">
        <v>1</v>
      </c>
      <c r="W96" s="9">
        <v>1</v>
      </c>
      <c r="X96" s="9">
        <v>195</v>
      </c>
      <c r="Y96" s="9">
        <v>127.755212</v>
      </c>
      <c r="Z96" s="9">
        <v>3</v>
      </c>
      <c r="AA96" s="9">
        <v>704</v>
      </c>
      <c r="AB96" s="9">
        <v>704</v>
      </c>
      <c r="AC96" s="9" t="s">
        <v>109</v>
      </c>
      <c r="AD96" s="9">
        <v>3</v>
      </c>
      <c r="AE96" s="9">
        <v>3.3</v>
      </c>
      <c r="AF96" s="9" t="s">
        <v>499</v>
      </c>
      <c r="AG96" s="9"/>
      <c r="AH96" s="9" t="s">
        <v>61</v>
      </c>
      <c r="AI96" s="10">
        <v>80.9764328002929</v>
      </c>
      <c r="AJ96" s="9">
        <v>100</v>
      </c>
      <c r="AK96" s="9" t="s">
        <v>484</v>
      </c>
      <c r="AL96" s="9">
        <v>8</v>
      </c>
      <c r="AM96" s="9"/>
      <c r="AN96" s="9" t="s">
        <v>400</v>
      </c>
      <c r="AO96" s="9" t="s">
        <v>369</v>
      </c>
      <c r="AP96" s="9" t="s">
        <v>485</v>
      </c>
      <c r="AQ96" s="9" t="s">
        <v>486</v>
      </c>
      <c r="AR96" s="9"/>
      <c r="AS96" s="9" t="s">
        <v>68</v>
      </c>
      <c r="AT96" s="9" t="s">
        <v>69</v>
      </c>
      <c r="AU96" s="9"/>
      <c r="AV96" s="9">
        <v>32</v>
      </c>
    </row>
    <row r="97" spans="1:48">
      <c r="A97" s="9">
        <f t="shared" si="1"/>
        <v>96</v>
      </c>
      <c r="B97" s="9" t="s">
        <v>479</v>
      </c>
      <c r="C97" s="9" t="s">
        <v>500</v>
      </c>
      <c r="D97" s="9">
        <v>1</v>
      </c>
      <c r="E97" s="9">
        <v>1</v>
      </c>
      <c r="F97" s="9" t="s">
        <v>91</v>
      </c>
      <c r="G97" s="9" t="s">
        <v>501</v>
      </c>
      <c r="H97" s="9"/>
      <c r="I97" s="9"/>
      <c r="J97" s="9" t="s">
        <v>53</v>
      </c>
      <c r="K97" s="9" t="s">
        <v>97</v>
      </c>
      <c r="L97" s="9" t="s">
        <v>113</v>
      </c>
      <c r="M97" s="9" t="s">
        <v>56</v>
      </c>
      <c r="N97" s="9" t="s">
        <v>99</v>
      </c>
      <c r="O97" s="9">
        <v>401</v>
      </c>
      <c r="P97" s="9" t="s">
        <v>58</v>
      </c>
      <c r="Q97" s="10">
        <v>4034.30004882812</v>
      </c>
      <c r="R97" s="9">
        <v>30</v>
      </c>
      <c r="S97" s="9"/>
      <c r="T97" s="9">
        <v>90</v>
      </c>
      <c r="U97" s="9">
        <v>11</v>
      </c>
      <c r="V97" s="9">
        <v>1</v>
      </c>
      <c r="W97" s="9">
        <v>1</v>
      </c>
      <c r="X97" s="9">
        <v>244</v>
      </c>
      <c r="Y97" s="9">
        <v>127.755225</v>
      </c>
      <c r="Z97" s="9">
        <v>3</v>
      </c>
      <c r="AA97" s="9">
        <v>640</v>
      </c>
      <c r="AB97" s="9">
        <v>640</v>
      </c>
      <c r="AC97" s="9" t="s">
        <v>100</v>
      </c>
      <c r="AD97" s="9">
        <v>3</v>
      </c>
      <c r="AE97" s="9">
        <v>3.3</v>
      </c>
      <c r="AF97" s="9" t="s">
        <v>502</v>
      </c>
      <c r="AG97" s="9"/>
      <c r="AH97" s="9" t="s">
        <v>77</v>
      </c>
      <c r="AI97" s="10">
        <v>83.2904891967773</v>
      </c>
      <c r="AJ97" s="9">
        <v>100</v>
      </c>
      <c r="AK97" s="9" t="s">
        <v>503</v>
      </c>
      <c r="AL97" s="9">
        <v>34</v>
      </c>
      <c r="AM97" s="9"/>
      <c r="AN97" s="9" t="s">
        <v>400</v>
      </c>
      <c r="AO97" s="9" t="s">
        <v>369</v>
      </c>
      <c r="AP97" s="9" t="s">
        <v>485</v>
      </c>
      <c r="AQ97" s="9" t="s">
        <v>486</v>
      </c>
      <c r="AR97" s="9"/>
      <c r="AS97" s="9" t="s">
        <v>68</v>
      </c>
      <c r="AT97" s="9" t="s">
        <v>69</v>
      </c>
      <c r="AU97" s="9"/>
      <c r="AV97" s="9">
        <v>40</v>
      </c>
    </row>
    <row r="98" spans="1:48">
      <c r="A98" s="9">
        <f t="shared" si="1"/>
        <v>97</v>
      </c>
      <c r="B98" s="9" t="s">
        <v>504</v>
      </c>
      <c r="C98" s="9" t="s">
        <v>505</v>
      </c>
      <c r="D98" s="9">
        <v>1</v>
      </c>
      <c r="E98" s="9">
        <v>1</v>
      </c>
      <c r="F98" s="9" t="s">
        <v>50</v>
      </c>
      <c r="G98" s="9" t="s">
        <v>506</v>
      </c>
      <c r="H98" s="9"/>
      <c r="I98" s="9"/>
      <c r="J98" s="9"/>
      <c r="K98" s="9"/>
      <c r="L98" s="9"/>
      <c r="M98" s="9"/>
      <c r="N98" s="9" t="s">
        <v>145</v>
      </c>
      <c r="O98" s="9">
        <v>4</v>
      </c>
      <c r="P98" s="9" t="s">
        <v>58</v>
      </c>
      <c r="Q98" s="9"/>
      <c r="R98" s="9"/>
      <c r="S98" s="9"/>
      <c r="T98" s="9"/>
      <c r="U98" s="9"/>
      <c r="V98" s="9"/>
      <c r="W98" s="9"/>
      <c r="X98" s="9"/>
      <c r="Y98" s="9"/>
      <c r="Z98" s="9"/>
      <c r="AA98" s="9">
        <v>512</v>
      </c>
      <c r="AB98" s="9">
        <v>512</v>
      </c>
      <c r="AC98" s="9" t="s">
        <v>507</v>
      </c>
      <c r="AD98" s="9">
        <v>4</v>
      </c>
      <c r="AE98" s="9"/>
      <c r="AF98" s="9"/>
      <c r="AG98" s="9"/>
      <c r="AH98" s="9"/>
      <c r="AI98" s="9"/>
      <c r="AJ98" s="9"/>
      <c r="AK98" s="9" t="s">
        <v>508</v>
      </c>
      <c r="AL98" s="9">
        <v>1</v>
      </c>
      <c r="AM98" s="9"/>
      <c r="AN98" s="9" t="s">
        <v>149</v>
      </c>
      <c r="AO98" s="9" t="s">
        <v>509</v>
      </c>
      <c r="AP98" s="9"/>
      <c r="AQ98" s="9"/>
      <c r="AR98" s="9"/>
      <c r="AS98" s="9"/>
      <c r="AT98" s="9"/>
      <c r="AU98" s="9"/>
      <c r="AV98" s="9">
        <v>19</v>
      </c>
    </row>
    <row r="99" spans="1:48">
      <c r="A99" s="9">
        <f t="shared" si="1"/>
        <v>98</v>
      </c>
      <c r="B99" s="9" t="s">
        <v>504</v>
      </c>
      <c r="C99" s="9" t="s">
        <v>510</v>
      </c>
      <c r="D99" s="9">
        <v>1</v>
      </c>
      <c r="E99" s="9">
        <v>1</v>
      </c>
      <c r="F99" s="9" t="s">
        <v>50</v>
      </c>
      <c r="G99" s="9" t="s">
        <v>511</v>
      </c>
      <c r="H99" s="9"/>
      <c r="I99" s="9"/>
      <c r="J99" s="9"/>
      <c r="K99" s="9"/>
      <c r="L99" s="9"/>
      <c r="M99" s="9"/>
      <c r="N99" s="9" t="s">
        <v>145</v>
      </c>
      <c r="O99" s="9">
        <v>3</v>
      </c>
      <c r="P99" s="9" t="s">
        <v>58</v>
      </c>
      <c r="Q99" s="9"/>
      <c r="R99" s="9"/>
      <c r="S99" s="9"/>
      <c r="T99" s="9"/>
      <c r="U99" s="9"/>
      <c r="V99" s="9"/>
      <c r="W99" s="9"/>
      <c r="X99" s="9"/>
      <c r="Y99" s="9"/>
      <c r="Z99" s="9"/>
      <c r="AA99" s="9">
        <v>512</v>
      </c>
      <c r="AB99" s="9">
        <v>512</v>
      </c>
      <c r="AC99" s="9" t="s">
        <v>507</v>
      </c>
      <c r="AD99" s="9">
        <v>4</v>
      </c>
      <c r="AE99" s="9"/>
      <c r="AF99" s="9"/>
      <c r="AG99" s="9"/>
      <c r="AH99" s="9"/>
      <c r="AI99" s="9"/>
      <c r="AJ99" s="9"/>
      <c r="AK99" s="9" t="s">
        <v>512</v>
      </c>
      <c r="AL99" s="9">
        <v>18</v>
      </c>
      <c r="AM99" s="9"/>
      <c r="AN99" s="9" t="s">
        <v>149</v>
      </c>
      <c r="AO99" s="9" t="s">
        <v>509</v>
      </c>
      <c r="AP99" s="9"/>
      <c r="AQ99" s="9"/>
      <c r="AR99" s="9"/>
      <c r="AS99" s="9"/>
      <c r="AT99" s="9"/>
      <c r="AU99" s="9"/>
      <c r="AV99" s="9">
        <v>19</v>
      </c>
    </row>
    <row r="100" spans="1:48">
      <c r="A100" s="9">
        <f t="shared" si="1"/>
        <v>99</v>
      </c>
      <c r="B100" s="9" t="s">
        <v>504</v>
      </c>
      <c r="C100" s="9" t="s">
        <v>513</v>
      </c>
      <c r="D100" s="9">
        <v>0</v>
      </c>
      <c r="E100" s="9">
        <v>0</v>
      </c>
      <c r="F100" s="9" t="s">
        <v>50</v>
      </c>
      <c r="G100" s="9" t="s">
        <v>514</v>
      </c>
      <c r="H100" s="9"/>
      <c r="I100" s="9"/>
      <c r="J100" s="9"/>
      <c r="K100" s="9"/>
      <c r="L100" s="9"/>
      <c r="M100" s="9"/>
      <c r="N100" s="9" t="s">
        <v>145</v>
      </c>
      <c r="O100" s="9">
        <v>5</v>
      </c>
      <c r="P100" s="9" t="s">
        <v>58</v>
      </c>
      <c r="Q100" s="9"/>
      <c r="R100" s="9"/>
      <c r="S100" s="9"/>
      <c r="T100" s="9"/>
      <c r="U100" s="9"/>
      <c r="V100" s="9"/>
      <c r="W100" s="9"/>
      <c r="X100" s="9"/>
      <c r="Y100" s="9"/>
      <c r="Z100" s="9"/>
      <c r="AA100" s="9">
        <v>512</v>
      </c>
      <c r="AB100" s="9">
        <v>512</v>
      </c>
      <c r="AC100" s="9" t="s">
        <v>507</v>
      </c>
      <c r="AD100" s="9">
        <v>4</v>
      </c>
      <c r="AE100" s="9"/>
      <c r="AF100" s="9"/>
      <c r="AG100" s="9"/>
      <c r="AH100" s="9"/>
      <c r="AI100" s="9"/>
      <c r="AJ100" s="9"/>
      <c r="AK100" s="9" t="s">
        <v>508</v>
      </c>
      <c r="AL100" s="9">
        <v>9</v>
      </c>
      <c r="AM100" s="9"/>
      <c r="AN100" s="9" t="s">
        <v>149</v>
      </c>
      <c r="AO100" s="9" t="s">
        <v>509</v>
      </c>
      <c r="AP100" s="9"/>
      <c r="AQ100" s="9"/>
      <c r="AR100" s="9"/>
      <c r="AS100" s="9"/>
      <c r="AT100" s="9"/>
      <c r="AU100" s="9"/>
      <c r="AV100" s="9">
        <v>19</v>
      </c>
    </row>
    <row r="101" spans="1:48">
      <c r="A101" s="9">
        <f t="shared" si="1"/>
        <v>100</v>
      </c>
      <c r="B101" s="9" t="s">
        <v>504</v>
      </c>
      <c r="C101" s="9" t="s">
        <v>515</v>
      </c>
      <c r="D101" s="9">
        <v>1</v>
      </c>
      <c r="E101" s="9">
        <v>1</v>
      </c>
      <c r="F101" s="9" t="s">
        <v>72</v>
      </c>
      <c r="G101" s="9" t="s">
        <v>516</v>
      </c>
      <c r="H101" s="9"/>
      <c r="I101" s="9"/>
      <c r="J101" s="9"/>
      <c r="K101" s="9"/>
      <c r="L101" s="9"/>
      <c r="M101" s="9"/>
      <c r="N101" s="9" t="s">
        <v>145</v>
      </c>
      <c r="O101" s="9">
        <v>6</v>
      </c>
      <c r="P101" s="9" t="s">
        <v>58</v>
      </c>
      <c r="Q101" s="9"/>
      <c r="R101" s="9"/>
      <c r="S101" s="9"/>
      <c r="T101" s="9"/>
      <c r="U101" s="9"/>
      <c r="V101" s="9"/>
      <c r="W101" s="9"/>
      <c r="X101" s="9"/>
      <c r="Y101" s="9"/>
      <c r="Z101" s="9"/>
      <c r="AA101" s="9">
        <v>512</v>
      </c>
      <c r="AB101" s="9">
        <v>512</v>
      </c>
      <c r="AC101" s="9" t="s">
        <v>311</v>
      </c>
      <c r="AD101" s="9">
        <v>4</v>
      </c>
      <c r="AE101" s="9"/>
      <c r="AF101" s="9"/>
      <c r="AG101" s="9"/>
      <c r="AH101" s="9"/>
      <c r="AI101" s="9"/>
      <c r="AJ101" s="9"/>
      <c r="AK101" s="9" t="s">
        <v>517</v>
      </c>
      <c r="AL101" s="9">
        <v>12</v>
      </c>
      <c r="AM101" s="9"/>
      <c r="AN101" s="9" t="s">
        <v>149</v>
      </c>
      <c r="AO101" s="9" t="s">
        <v>509</v>
      </c>
      <c r="AP101" s="9"/>
      <c r="AQ101" s="9"/>
      <c r="AR101" s="9"/>
      <c r="AS101" s="9"/>
      <c r="AT101" s="9"/>
      <c r="AU101" s="9"/>
      <c r="AV101" s="9">
        <v>23</v>
      </c>
    </row>
    <row r="102" spans="1:48">
      <c r="A102" s="9">
        <f t="shared" si="1"/>
        <v>101</v>
      </c>
      <c r="B102" s="9" t="s">
        <v>504</v>
      </c>
      <c r="C102" s="9" t="s">
        <v>518</v>
      </c>
      <c r="D102" s="9">
        <v>1</v>
      </c>
      <c r="E102" s="9">
        <v>1</v>
      </c>
      <c r="F102" s="9" t="s">
        <v>91</v>
      </c>
      <c r="G102" s="9" t="s">
        <v>193</v>
      </c>
      <c r="H102" s="9"/>
      <c r="I102" s="9"/>
      <c r="J102" s="9"/>
      <c r="K102" s="9"/>
      <c r="L102" s="9"/>
      <c r="M102" s="9"/>
      <c r="N102" s="9" t="s">
        <v>145</v>
      </c>
      <c r="O102" s="9">
        <v>7</v>
      </c>
      <c r="P102" s="9" t="s">
        <v>58</v>
      </c>
      <c r="Q102" s="9"/>
      <c r="R102" s="9"/>
      <c r="S102" s="9"/>
      <c r="T102" s="9"/>
      <c r="U102" s="9"/>
      <c r="V102" s="9"/>
      <c r="W102" s="9"/>
      <c r="X102" s="9"/>
      <c r="Y102" s="9"/>
      <c r="Z102" s="9"/>
      <c r="AA102" s="9">
        <v>512</v>
      </c>
      <c r="AB102" s="9">
        <v>512</v>
      </c>
      <c r="AC102" s="9" t="s">
        <v>507</v>
      </c>
      <c r="AD102" s="9">
        <v>5</v>
      </c>
      <c r="AE102" s="9"/>
      <c r="AF102" s="9"/>
      <c r="AG102" s="9"/>
      <c r="AH102" s="9"/>
      <c r="AI102" s="9"/>
      <c r="AJ102" s="9"/>
      <c r="AK102" s="9" t="s">
        <v>519</v>
      </c>
      <c r="AL102" s="9">
        <v>17</v>
      </c>
      <c r="AM102" s="9"/>
      <c r="AN102" s="9" t="s">
        <v>149</v>
      </c>
      <c r="AO102" s="9" t="s">
        <v>509</v>
      </c>
      <c r="AP102" s="9"/>
      <c r="AQ102" s="9"/>
      <c r="AR102" s="9"/>
      <c r="AS102" s="9"/>
      <c r="AT102" s="9"/>
      <c r="AU102" s="9"/>
      <c r="AV102" s="9">
        <v>20</v>
      </c>
    </row>
    <row r="103" spans="1:48">
      <c r="A103" s="9">
        <f t="shared" si="1"/>
        <v>102</v>
      </c>
      <c r="B103" s="9" t="s">
        <v>520</v>
      </c>
      <c r="C103" s="9" t="s">
        <v>521</v>
      </c>
      <c r="D103" s="9">
        <v>1</v>
      </c>
      <c r="E103" s="9">
        <v>1</v>
      </c>
      <c r="F103" s="9" t="s">
        <v>91</v>
      </c>
      <c r="G103" s="9" t="s">
        <v>522</v>
      </c>
      <c r="H103" s="9"/>
      <c r="I103" s="9" t="s">
        <v>523</v>
      </c>
      <c r="J103" s="9" t="s">
        <v>53</v>
      </c>
      <c r="K103" s="9" t="s">
        <v>54</v>
      </c>
      <c r="L103" s="9" t="s">
        <v>343</v>
      </c>
      <c r="M103" s="9" t="s">
        <v>56</v>
      </c>
      <c r="N103" s="9" t="s">
        <v>524</v>
      </c>
      <c r="O103" s="9">
        <v>10</v>
      </c>
      <c r="P103" s="9" t="s">
        <v>58</v>
      </c>
      <c r="Q103" s="9">
        <v>4110</v>
      </c>
      <c r="R103" s="9">
        <v>39</v>
      </c>
      <c r="S103" s="9"/>
      <c r="T103" s="9">
        <v>180</v>
      </c>
      <c r="U103" s="9">
        <v>9</v>
      </c>
      <c r="V103" s="9">
        <v>1</v>
      </c>
      <c r="W103" s="9">
        <v>1</v>
      </c>
      <c r="X103" s="9">
        <v>147</v>
      </c>
      <c r="Y103" s="9">
        <v>123.234973</v>
      </c>
      <c r="Z103" s="9">
        <v>3</v>
      </c>
      <c r="AA103" s="9">
        <v>640</v>
      </c>
      <c r="AB103" s="9">
        <v>640</v>
      </c>
      <c r="AC103" s="9" t="s">
        <v>525</v>
      </c>
      <c r="AD103" s="9">
        <v>3</v>
      </c>
      <c r="AE103" s="9">
        <v>3.6</v>
      </c>
      <c r="AF103" s="9" t="s">
        <v>234</v>
      </c>
      <c r="AG103" s="9"/>
      <c r="AH103" s="9" t="s">
        <v>77</v>
      </c>
      <c r="AI103" s="9">
        <v>80</v>
      </c>
      <c r="AJ103" s="9">
        <v>100</v>
      </c>
      <c r="AK103" s="9" t="s">
        <v>526</v>
      </c>
      <c r="AL103" s="9">
        <v>11</v>
      </c>
      <c r="AM103" s="9"/>
      <c r="AN103" s="9" t="s">
        <v>63</v>
      </c>
      <c r="AO103" s="9" t="s">
        <v>527</v>
      </c>
      <c r="AP103" s="9" t="s">
        <v>349</v>
      </c>
      <c r="AQ103" s="9" t="s">
        <v>528</v>
      </c>
      <c r="AR103" s="9" t="s">
        <v>528</v>
      </c>
      <c r="AS103" s="9" t="s">
        <v>68</v>
      </c>
      <c r="AT103" s="9" t="s">
        <v>69</v>
      </c>
      <c r="AU103" s="9" t="s">
        <v>70</v>
      </c>
      <c r="AV103" s="9">
        <v>38</v>
      </c>
    </row>
    <row r="104" spans="1:48">
      <c r="A104" s="9">
        <f t="shared" si="1"/>
        <v>103</v>
      </c>
      <c r="B104" s="9" t="s">
        <v>520</v>
      </c>
      <c r="C104" s="9" t="s">
        <v>529</v>
      </c>
      <c r="D104" s="9">
        <v>0</v>
      </c>
      <c r="E104" s="9">
        <v>0</v>
      </c>
      <c r="F104" s="9" t="s">
        <v>50</v>
      </c>
      <c r="G104" s="9" t="s">
        <v>530</v>
      </c>
      <c r="H104" s="9"/>
      <c r="I104" s="9" t="s">
        <v>531</v>
      </c>
      <c r="J104" s="9" t="s">
        <v>53</v>
      </c>
      <c r="K104" s="9" t="s">
        <v>54</v>
      </c>
      <c r="L104" s="9" t="s">
        <v>356</v>
      </c>
      <c r="M104" s="9" t="s">
        <v>56</v>
      </c>
      <c r="N104" s="9" t="s">
        <v>524</v>
      </c>
      <c r="O104" s="9">
        <v>9</v>
      </c>
      <c r="P104" s="9" t="s">
        <v>58</v>
      </c>
      <c r="Q104" s="9">
        <v>2200</v>
      </c>
      <c r="R104" s="9">
        <v>32</v>
      </c>
      <c r="S104" s="9"/>
      <c r="T104" s="9">
        <v>168</v>
      </c>
      <c r="U104" s="9">
        <v>9</v>
      </c>
      <c r="V104" s="9">
        <v>1</v>
      </c>
      <c r="W104" s="9">
        <v>1</v>
      </c>
      <c r="X104" s="9">
        <v>186</v>
      </c>
      <c r="Y104" s="9">
        <v>123.234973</v>
      </c>
      <c r="Z104" s="9">
        <v>3</v>
      </c>
      <c r="AA104" s="9">
        <v>768</v>
      </c>
      <c r="AB104" s="9">
        <v>768</v>
      </c>
      <c r="AC104" s="9" t="s">
        <v>532</v>
      </c>
      <c r="AD104" s="9">
        <v>2.5</v>
      </c>
      <c r="AE104" s="9">
        <v>3</v>
      </c>
      <c r="AF104" s="9" t="s">
        <v>533</v>
      </c>
      <c r="AG104" s="9"/>
      <c r="AH104" s="9" t="s">
        <v>61</v>
      </c>
      <c r="AI104" s="9">
        <v>75</v>
      </c>
      <c r="AJ104" s="9">
        <v>100</v>
      </c>
      <c r="AK104" s="9" t="s">
        <v>534</v>
      </c>
      <c r="AL104" s="9">
        <v>29</v>
      </c>
      <c r="AM104" s="9"/>
      <c r="AN104" s="9" t="s">
        <v>63</v>
      </c>
      <c r="AO104" s="9" t="s">
        <v>527</v>
      </c>
      <c r="AP104" s="9" t="s">
        <v>349</v>
      </c>
      <c r="AQ104" s="9" t="s">
        <v>528</v>
      </c>
      <c r="AR104" s="9" t="s">
        <v>528</v>
      </c>
      <c r="AS104" s="9" t="s">
        <v>68</v>
      </c>
      <c r="AT104" s="9" t="s">
        <v>69</v>
      </c>
      <c r="AU104" s="9" t="s">
        <v>70</v>
      </c>
      <c r="AV104" s="9">
        <v>34</v>
      </c>
    </row>
    <row r="105" spans="1:48">
      <c r="A105" s="9">
        <f t="shared" si="1"/>
        <v>104</v>
      </c>
      <c r="B105" s="9" t="s">
        <v>520</v>
      </c>
      <c r="C105" s="9" t="s">
        <v>535</v>
      </c>
      <c r="D105" s="9">
        <v>1</v>
      </c>
      <c r="E105" s="9">
        <v>1</v>
      </c>
      <c r="F105" s="9" t="s">
        <v>50</v>
      </c>
      <c r="G105" s="9" t="s">
        <v>536</v>
      </c>
      <c r="H105" s="9"/>
      <c r="I105" s="9" t="s">
        <v>531</v>
      </c>
      <c r="J105" s="9" t="s">
        <v>53</v>
      </c>
      <c r="K105" s="9" t="s">
        <v>54</v>
      </c>
      <c r="L105" s="9" t="s">
        <v>343</v>
      </c>
      <c r="M105" s="9" t="s">
        <v>56</v>
      </c>
      <c r="N105" s="9" t="s">
        <v>524</v>
      </c>
      <c r="O105" s="9">
        <v>8</v>
      </c>
      <c r="P105" s="9" t="s">
        <v>58</v>
      </c>
      <c r="Q105" s="9">
        <v>2500</v>
      </c>
      <c r="R105" s="9">
        <v>33</v>
      </c>
      <c r="S105" s="9"/>
      <c r="T105" s="9">
        <v>179</v>
      </c>
      <c r="U105" s="9">
        <v>9</v>
      </c>
      <c r="V105" s="9">
        <v>1</v>
      </c>
      <c r="W105" s="9">
        <v>1</v>
      </c>
      <c r="X105" s="9">
        <v>186</v>
      </c>
      <c r="Y105" s="9">
        <v>123.234973</v>
      </c>
      <c r="Z105" s="9">
        <v>3</v>
      </c>
      <c r="AA105" s="9">
        <v>768</v>
      </c>
      <c r="AB105" s="9">
        <v>768</v>
      </c>
      <c r="AC105" s="9" t="s">
        <v>532</v>
      </c>
      <c r="AD105" s="9">
        <v>2.5</v>
      </c>
      <c r="AE105" s="9">
        <v>3</v>
      </c>
      <c r="AF105" s="9" t="s">
        <v>537</v>
      </c>
      <c r="AG105" s="9"/>
      <c r="AH105" s="9" t="s">
        <v>61</v>
      </c>
      <c r="AI105" s="9">
        <v>70</v>
      </c>
      <c r="AJ105" s="9">
        <v>100</v>
      </c>
      <c r="AK105" s="9" t="s">
        <v>534</v>
      </c>
      <c r="AL105" s="9">
        <v>1</v>
      </c>
      <c r="AM105" s="9"/>
      <c r="AN105" s="9" t="s">
        <v>63</v>
      </c>
      <c r="AO105" s="9" t="s">
        <v>527</v>
      </c>
      <c r="AP105" s="9" t="s">
        <v>349</v>
      </c>
      <c r="AQ105" s="9" t="s">
        <v>528</v>
      </c>
      <c r="AR105" s="9" t="s">
        <v>528</v>
      </c>
      <c r="AS105" s="9" t="s">
        <v>68</v>
      </c>
      <c r="AT105" s="9" t="s">
        <v>69</v>
      </c>
      <c r="AU105" s="9" t="s">
        <v>70</v>
      </c>
      <c r="AV105" s="9">
        <v>34</v>
      </c>
    </row>
    <row r="106" spans="1:48">
      <c r="A106" s="9">
        <f t="shared" si="1"/>
        <v>105</v>
      </c>
      <c r="B106" s="9" t="s">
        <v>520</v>
      </c>
      <c r="C106" s="9" t="s">
        <v>538</v>
      </c>
      <c r="D106" s="9">
        <v>0</v>
      </c>
      <c r="E106" s="9">
        <v>0</v>
      </c>
      <c r="F106" s="9" t="s">
        <v>72</v>
      </c>
      <c r="G106" s="9" t="s">
        <v>539</v>
      </c>
      <c r="H106" s="9"/>
      <c r="I106" s="9" t="s">
        <v>74</v>
      </c>
      <c r="J106" s="9" t="s">
        <v>53</v>
      </c>
      <c r="K106" s="9" t="s">
        <v>54</v>
      </c>
      <c r="L106" s="9" t="s">
        <v>55</v>
      </c>
      <c r="M106" s="9" t="s">
        <v>56</v>
      </c>
      <c r="N106" s="9" t="s">
        <v>524</v>
      </c>
      <c r="O106" s="9">
        <v>12</v>
      </c>
      <c r="P106" s="9" t="s">
        <v>58</v>
      </c>
      <c r="Q106" s="9">
        <v>684</v>
      </c>
      <c r="R106" s="9">
        <v>12</v>
      </c>
      <c r="S106" s="9"/>
      <c r="T106" s="9">
        <v>180</v>
      </c>
      <c r="U106" s="9">
        <v>3</v>
      </c>
      <c r="V106" s="9">
        <v>1</v>
      </c>
      <c r="W106" s="9">
        <v>1</v>
      </c>
      <c r="X106" s="9">
        <v>200</v>
      </c>
      <c r="Y106" s="9">
        <v>123.23496</v>
      </c>
      <c r="Z106" s="9">
        <v>3</v>
      </c>
      <c r="AA106" s="9">
        <v>640</v>
      </c>
      <c r="AB106" s="9">
        <v>540</v>
      </c>
      <c r="AC106" s="9" t="s">
        <v>100</v>
      </c>
      <c r="AD106" s="9">
        <v>3</v>
      </c>
      <c r="AE106" s="9">
        <v>3.6</v>
      </c>
      <c r="AF106" s="9" t="s">
        <v>540</v>
      </c>
      <c r="AG106" s="9"/>
      <c r="AH106" s="9" t="s">
        <v>77</v>
      </c>
      <c r="AI106" s="9">
        <v>100</v>
      </c>
      <c r="AJ106" s="9">
        <v>84.375</v>
      </c>
      <c r="AK106" s="9" t="s">
        <v>541</v>
      </c>
      <c r="AL106" s="9">
        <v>20</v>
      </c>
      <c r="AM106" s="9"/>
      <c r="AN106" s="9" t="s">
        <v>63</v>
      </c>
      <c r="AO106" s="9" t="s">
        <v>527</v>
      </c>
      <c r="AP106" s="9" t="s">
        <v>349</v>
      </c>
      <c r="AQ106" s="9" t="s">
        <v>528</v>
      </c>
      <c r="AR106" s="9" t="s">
        <v>528</v>
      </c>
      <c r="AS106" s="9" t="s">
        <v>68</v>
      </c>
      <c r="AT106" s="9" t="s">
        <v>69</v>
      </c>
      <c r="AU106" s="9" t="s">
        <v>70</v>
      </c>
      <c r="AV106" s="9">
        <v>30</v>
      </c>
    </row>
    <row r="107" spans="1:48">
      <c r="A107" s="9">
        <f t="shared" si="1"/>
        <v>106</v>
      </c>
      <c r="B107" s="9" t="s">
        <v>520</v>
      </c>
      <c r="C107" s="9" t="s">
        <v>542</v>
      </c>
      <c r="D107" s="9">
        <v>1</v>
      </c>
      <c r="E107" s="9">
        <v>1</v>
      </c>
      <c r="F107" s="9" t="s">
        <v>72</v>
      </c>
      <c r="G107" s="9" t="s">
        <v>543</v>
      </c>
      <c r="H107" s="9"/>
      <c r="I107" s="9" t="s">
        <v>544</v>
      </c>
      <c r="J107" s="9" t="s">
        <v>53</v>
      </c>
      <c r="K107" s="9" t="s">
        <v>54</v>
      </c>
      <c r="L107" s="9" t="s">
        <v>82</v>
      </c>
      <c r="M107" s="9" t="s">
        <v>56</v>
      </c>
      <c r="N107" s="9" t="s">
        <v>524</v>
      </c>
      <c r="O107" s="9">
        <v>11</v>
      </c>
      <c r="P107" s="9" t="s">
        <v>58</v>
      </c>
      <c r="Q107" s="9">
        <v>2300</v>
      </c>
      <c r="R107" s="9">
        <v>32</v>
      </c>
      <c r="S107" s="9"/>
      <c r="T107" s="9">
        <v>150</v>
      </c>
      <c r="U107" s="9">
        <v>7</v>
      </c>
      <c r="V107" s="9">
        <v>1</v>
      </c>
      <c r="W107" s="9">
        <v>1</v>
      </c>
      <c r="X107" s="9">
        <v>182</v>
      </c>
      <c r="Y107" s="9">
        <v>123.23496</v>
      </c>
      <c r="Z107" s="9">
        <v>3</v>
      </c>
      <c r="AA107" s="9">
        <v>640</v>
      </c>
      <c r="AB107" s="9">
        <v>540</v>
      </c>
      <c r="AC107" s="9" t="s">
        <v>100</v>
      </c>
      <c r="AD107" s="9">
        <v>3</v>
      </c>
      <c r="AE107" s="9">
        <v>3.6</v>
      </c>
      <c r="AF107" s="9" t="s">
        <v>545</v>
      </c>
      <c r="AG107" s="9"/>
      <c r="AH107" s="9" t="s">
        <v>77</v>
      </c>
      <c r="AI107" s="9">
        <v>75</v>
      </c>
      <c r="AJ107" s="9">
        <v>84.375</v>
      </c>
      <c r="AK107" s="9" t="s">
        <v>546</v>
      </c>
      <c r="AL107" s="9">
        <v>17</v>
      </c>
      <c r="AM107" s="9"/>
      <c r="AN107" s="9" t="s">
        <v>63</v>
      </c>
      <c r="AO107" s="9" t="s">
        <v>527</v>
      </c>
      <c r="AP107" s="9" t="s">
        <v>349</v>
      </c>
      <c r="AQ107" s="9" t="s">
        <v>528</v>
      </c>
      <c r="AR107" s="9" t="s">
        <v>528</v>
      </c>
      <c r="AS107" s="9" t="s">
        <v>68</v>
      </c>
      <c r="AT107" s="9" t="s">
        <v>69</v>
      </c>
      <c r="AU107" s="9" t="s">
        <v>70</v>
      </c>
      <c r="AV107" s="9">
        <v>30</v>
      </c>
    </row>
    <row r="108" spans="1:48">
      <c r="A108" s="9">
        <f t="shared" si="1"/>
        <v>107</v>
      </c>
      <c r="B108" s="9" t="s">
        <v>547</v>
      </c>
      <c r="C108" s="9" t="s">
        <v>548</v>
      </c>
      <c r="D108" s="9">
        <v>0</v>
      </c>
      <c r="E108" s="9">
        <v>0</v>
      </c>
      <c r="F108" s="9" t="s">
        <v>72</v>
      </c>
      <c r="G108" s="9" t="s">
        <v>549</v>
      </c>
      <c r="H108" s="9"/>
      <c r="I108" s="9"/>
      <c r="J108" s="9" t="s">
        <v>53</v>
      </c>
      <c r="K108" s="9" t="s">
        <v>97</v>
      </c>
      <c r="L108" s="9" t="s">
        <v>550</v>
      </c>
      <c r="M108" s="9" t="s">
        <v>56</v>
      </c>
      <c r="N108" s="9" t="s">
        <v>145</v>
      </c>
      <c r="O108" s="9">
        <v>4</v>
      </c>
      <c r="P108" s="9" t="s">
        <v>58</v>
      </c>
      <c r="Q108" s="9">
        <v>632</v>
      </c>
      <c r="R108" s="9">
        <v>9.552</v>
      </c>
      <c r="S108" s="9"/>
      <c r="T108" s="9">
        <v>160</v>
      </c>
      <c r="U108" s="9">
        <v>3</v>
      </c>
      <c r="V108" s="9">
        <v>1</v>
      </c>
      <c r="W108" s="9">
        <v>1</v>
      </c>
      <c r="X108" s="9">
        <v>69.7461</v>
      </c>
      <c r="Y108" s="9">
        <v>63.901518</v>
      </c>
      <c r="Z108" s="9">
        <v>1.5</v>
      </c>
      <c r="AA108" s="9">
        <v>1024</v>
      </c>
      <c r="AB108" s="9">
        <v>1024</v>
      </c>
      <c r="AC108" s="9" t="s">
        <v>551</v>
      </c>
      <c r="AD108" s="9">
        <v>3</v>
      </c>
      <c r="AE108" s="9">
        <v>3.3</v>
      </c>
      <c r="AF108" s="9" t="s">
        <v>552</v>
      </c>
      <c r="AG108" s="9"/>
      <c r="AH108" s="9" t="s">
        <v>77</v>
      </c>
      <c r="AI108" s="9">
        <v>100</v>
      </c>
      <c r="AJ108" s="9">
        <v>100</v>
      </c>
      <c r="AK108" s="9" t="s">
        <v>553</v>
      </c>
      <c r="AL108" s="9">
        <v>26</v>
      </c>
      <c r="AM108" s="9"/>
      <c r="AN108" s="9" t="s">
        <v>149</v>
      </c>
      <c r="AO108" s="9" t="s">
        <v>554</v>
      </c>
      <c r="AP108" s="9" t="s">
        <v>555</v>
      </c>
      <c r="AQ108" s="9" t="s">
        <v>556</v>
      </c>
      <c r="AR108" s="9" t="s">
        <v>556</v>
      </c>
      <c r="AS108" s="9" t="s">
        <v>302</v>
      </c>
      <c r="AT108" s="9" t="s">
        <v>69</v>
      </c>
      <c r="AU108" s="9"/>
      <c r="AV108" s="9">
        <v>32</v>
      </c>
    </row>
    <row r="109" spans="1:48">
      <c r="A109" s="9">
        <f t="shared" si="1"/>
        <v>108</v>
      </c>
      <c r="B109" s="9" t="s">
        <v>547</v>
      </c>
      <c r="C109" s="9" t="s">
        <v>557</v>
      </c>
      <c r="D109" s="9">
        <v>0</v>
      </c>
      <c r="E109" s="9">
        <v>0</v>
      </c>
      <c r="F109" s="9" t="s">
        <v>50</v>
      </c>
      <c r="G109" s="9" t="s">
        <v>558</v>
      </c>
      <c r="H109" s="9"/>
      <c r="I109" s="9"/>
      <c r="J109" s="9" t="s">
        <v>53</v>
      </c>
      <c r="K109" s="9" t="s">
        <v>97</v>
      </c>
      <c r="L109" s="9" t="s">
        <v>559</v>
      </c>
      <c r="M109" s="9" t="s">
        <v>56</v>
      </c>
      <c r="N109" s="9" t="s">
        <v>145</v>
      </c>
      <c r="O109" s="9">
        <v>6</v>
      </c>
      <c r="P109" s="9" t="s">
        <v>58</v>
      </c>
      <c r="Q109" s="9">
        <v>5046</v>
      </c>
      <c r="R109" s="9">
        <v>72</v>
      </c>
      <c r="S109" s="9"/>
      <c r="T109" s="9">
        <v>160</v>
      </c>
      <c r="U109" s="9">
        <v>18</v>
      </c>
      <c r="V109" s="9">
        <v>1</v>
      </c>
      <c r="W109" s="9">
        <v>1</v>
      </c>
      <c r="X109" s="9">
        <v>122.07</v>
      </c>
      <c r="Y109" s="9">
        <v>63.901529</v>
      </c>
      <c r="Z109" s="9">
        <v>1.5</v>
      </c>
      <c r="AA109" s="9">
        <v>1024</v>
      </c>
      <c r="AB109" s="9">
        <v>1024</v>
      </c>
      <c r="AC109" s="9" t="s">
        <v>551</v>
      </c>
      <c r="AD109" s="9">
        <v>2</v>
      </c>
      <c r="AE109" s="9">
        <v>2.2</v>
      </c>
      <c r="AF109" s="9" t="s">
        <v>560</v>
      </c>
      <c r="AG109" s="9"/>
      <c r="AH109" s="9" t="s">
        <v>77</v>
      </c>
      <c r="AI109" s="9">
        <v>100</v>
      </c>
      <c r="AJ109" s="9">
        <v>100</v>
      </c>
      <c r="AK109" s="9" t="s">
        <v>561</v>
      </c>
      <c r="AL109" s="9">
        <v>46</v>
      </c>
      <c r="AM109" s="9"/>
      <c r="AN109" s="9" t="s">
        <v>149</v>
      </c>
      <c r="AO109" s="9" t="s">
        <v>554</v>
      </c>
      <c r="AP109" s="9" t="s">
        <v>555</v>
      </c>
      <c r="AQ109" s="9" t="s">
        <v>556</v>
      </c>
      <c r="AR109" s="9" t="s">
        <v>556</v>
      </c>
      <c r="AS109" s="9" t="s">
        <v>302</v>
      </c>
      <c r="AT109" s="9" t="s">
        <v>69</v>
      </c>
      <c r="AU109" s="9"/>
      <c r="AV109" s="9">
        <v>46</v>
      </c>
    </row>
    <row r="110" spans="1:48">
      <c r="A110" s="9">
        <f t="shared" si="1"/>
        <v>109</v>
      </c>
      <c r="B110" s="9" t="s">
        <v>547</v>
      </c>
      <c r="C110" s="9" t="s">
        <v>562</v>
      </c>
      <c r="D110" s="9">
        <v>1</v>
      </c>
      <c r="E110" s="9">
        <v>1</v>
      </c>
      <c r="F110" s="9" t="s">
        <v>91</v>
      </c>
      <c r="G110" s="9" t="s">
        <v>563</v>
      </c>
      <c r="H110" s="9"/>
      <c r="I110" s="9"/>
      <c r="J110" s="9" t="s">
        <v>53</v>
      </c>
      <c r="K110" s="9" t="s">
        <v>97</v>
      </c>
      <c r="L110" s="9" t="s">
        <v>564</v>
      </c>
      <c r="M110" s="9" t="s">
        <v>56</v>
      </c>
      <c r="N110" s="9" t="s">
        <v>145</v>
      </c>
      <c r="O110" s="9">
        <v>3</v>
      </c>
      <c r="P110" s="9" t="s">
        <v>58</v>
      </c>
      <c r="Q110" s="9">
        <v>4611</v>
      </c>
      <c r="R110" s="9">
        <v>38.496</v>
      </c>
      <c r="S110" s="9"/>
      <c r="T110" s="9">
        <v>160</v>
      </c>
      <c r="U110" s="9">
        <v>13</v>
      </c>
      <c r="V110" s="9">
        <v>1</v>
      </c>
      <c r="W110" s="9">
        <v>1.5</v>
      </c>
      <c r="X110" s="9">
        <v>244.141</v>
      </c>
      <c r="Y110" s="9">
        <v>63.901525</v>
      </c>
      <c r="Z110" s="9">
        <v>1.5</v>
      </c>
      <c r="AA110" s="9">
        <v>512</v>
      </c>
      <c r="AB110" s="9">
        <v>512</v>
      </c>
      <c r="AC110" s="9" t="s">
        <v>311</v>
      </c>
      <c r="AD110" s="9">
        <v>3.5</v>
      </c>
      <c r="AE110" s="9">
        <v>4.5</v>
      </c>
      <c r="AF110" s="9" t="s">
        <v>565</v>
      </c>
      <c r="AG110" s="9"/>
      <c r="AH110" s="9" t="s">
        <v>77</v>
      </c>
      <c r="AI110" s="9">
        <v>100</v>
      </c>
      <c r="AJ110" s="9">
        <v>100</v>
      </c>
      <c r="AK110" s="9" t="s">
        <v>566</v>
      </c>
      <c r="AL110" s="9">
        <v>12</v>
      </c>
      <c r="AM110" s="9"/>
      <c r="AN110" s="9" t="s">
        <v>149</v>
      </c>
      <c r="AO110" s="9" t="s">
        <v>554</v>
      </c>
      <c r="AP110" s="9" t="s">
        <v>555</v>
      </c>
      <c r="AQ110" s="9" t="s">
        <v>556</v>
      </c>
      <c r="AR110" s="9" t="s">
        <v>556</v>
      </c>
      <c r="AS110" s="9" t="s">
        <v>302</v>
      </c>
      <c r="AT110" s="9" t="s">
        <v>69</v>
      </c>
      <c r="AU110" s="9"/>
      <c r="AV110" s="9">
        <v>33</v>
      </c>
    </row>
    <row r="111" spans="1:48">
      <c r="A111" s="9">
        <f t="shared" si="1"/>
        <v>110</v>
      </c>
      <c r="B111" s="9" t="s">
        <v>547</v>
      </c>
      <c r="C111" s="9" t="s">
        <v>567</v>
      </c>
      <c r="D111" s="9">
        <v>1</v>
      </c>
      <c r="E111" s="9">
        <v>1</v>
      </c>
      <c r="F111" s="9" t="s">
        <v>50</v>
      </c>
      <c r="G111" s="9" t="s">
        <v>568</v>
      </c>
      <c r="H111" s="9"/>
      <c r="I111" s="9"/>
      <c r="J111" s="9" t="s">
        <v>53</v>
      </c>
      <c r="K111" s="9" t="s">
        <v>97</v>
      </c>
      <c r="L111" s="9" t="s">
        <v>569</v>
      </c>
      <c r="M111" s="9" t="s">
        <v>56</v>
      </c>
      <c r="N111" s="9" t="s">
        <v>145</v>
      </c>
      <c r="O111" s="9">
        <v>7</v>
      </c>
      <c r="P111" s="9" t="s">
        <v>58</v>
      </c>
      <c r="Q111" s="9">
        <v>3203</v>
      </c>
      <c r="R111" s="9">
        <v>39.72</v>
      </c>
      <c r="S111" s="9"/>
      <c r="T111" s="9">
        <v>100</v>
      </c>
      <c r="U111" s="9">
        <v>13</v>
      </c>
      <c r="V111" s="9">
        <v>1</v>
      </c>
      <c r="W111" s="9">
        <v>1.5</v>
      </c>
      <c r="X111" s="9">
        <v>139.492</v>
      </c>
      <c r="Y111" s="9">
        <v>63.901532</v>
      </c>
      <c r="Z111" s="9">
        <v>1.5</v>
      </c>
      <c r="AA111" s="9">
        <v>512</v>
      </c>
      <c r="AB111" s="9">
        <v>512</v>
      </c>
      <c r="AC111" s="9" t="s">
        <v>311</v>
      </c>
      <c r="AD111" s="9">
        <v>2</v>
      </c>
      <c r="AE111" s="9">
        <v>2.2</v>
      </c>
      <c r="AF111" s="9" t="s">
        <v>570</v>
      </c>
      <c r="AG111" s="9"/>
      <c r="AH111" s="9" t="s">
        <v>77</v>
      </c>
      <c r="AI111" s="9">
        <v>100</v>
      </c>
      <c r="AJ111" s="9">
        <v>100</v>
      </c>
      <c r="AK111" s="9" t="s">
        <v>561</v>
      </c>
      <c r="AL111" s="9">
        <v>30</v>
      </c>
      <c r="AM111" s="9"/>
      <c r="AN111" s="9" t="s">
        <v>149</v>
      </c>
      <c r="AO111" s="9" t="s">
        <v>554</v>
      </c>
      <c r="AP111" s="9" t="s">
        <v>555</v>
      </c>
      <c r="AQ111" s="9" t="s">
        <v>556</v>
      </c>
      <c r="AR111" s="9" t="s">
        <v>556</v>
      </c>
      <c r="AS111" s="9" t="s">
        <v>302</v>
      </c>
      <c r="AT111" s="9" t="s">
        <v>69</v>
      </c>
      <c r="AU111" s="9"/>
      <c r="AV111" s="9">
        <v>46</v>
      </c>
    </row>
    <row r="112" spans="1:48">
      <c r="A112" s="9">
        <f t="shared" si="1"/>
        <v>111</v>
      </c>
      <c r="B112" s="9" t="s">
        <v>547</v>
      </c>
      <c r="C112" s="9" t="s">
        <v>571</v>
      </c>
      <c r="D112" s="9">
        <v>1</v>
      </c>
      <c r="E112" s="9">
        <v>1</v>
      </c>
      <c r="F112" s="9" t="s">
        <v>72</v>
      </c>
      <c r="G112" s="9" t="s">
        <v>572</v>
      </c>
      <c r="H112" s="9"/>
      <c r="I112" s="9"/>
      <c r="J112" s="9" t="s">
        <v>53</v>
      </c>
      <c r="K112" s="9" t="s">
        <v>97</v>
      </c>
      <c r="L112" s="9" t="s">
        <v>573</v>
      </c>
      <c r="M112" s="9" t="s">
        <v>56</v>
      </c>
      <c r="N112" s="9" t="s">
        <v>145</v>
      </c>
      <c r="O112" s="9">
        <v>5</v>
      </c>
      <c r="P112" s="9" t="s">
        <v>58</v>
      </c>
      <c r="Q112" s="9">
        <v>4147</v>
      </c>
      <c r="R112" s="9">
        <v>40.752</v>
      </c>
      <c r="S112" s="9"/>
      <c r="T112" s="9">
        <v>160</v>
      </c>
      <c r="U112" s="9">
        <v>12</v>
      </c>
      <c r="V112" s="9">
        <v>1</v>
      </c>
      <c r="W112" s="9">
        <v>1.5</v>
      </c>
      <c r="X112" s="9">
        <v>195.312</v>
      </c>
      <c r="Y112" s="9">
        <v>63.901529</v>
      </c>
      <c r="Z112" s="9">
        <v>1.5</v>
      </c>
      <c r="AA112" s="9">
        <v>512</v>
      </c>
      <c r="AB112" s="9">
        <v>512</v>
      </c>
      <c r="AC112" s="9" t="s">
        <v>311</v>
      </c>
      <c r="AD112" s="9">
        <v>3</v>
      </c>
      <c r="AE112" s="9">
        <v>3.3</v>
      </c>
      <c r="AF112" s="9" t="s">
        <v>570</v>
      </c>
      <c r="AG112" s="9"/>
      <c r="AH112" s="9" t="s">
        <v>77</v>
      </c>
      <c r="AI112" s="9">
        <v>100</v>
      </c>
      <c r="AJ112" s="9">
        <v>100</v>
      </c>
      <c r="AK112" s="9" t="s">
        <v>553</v>
      </c>
      <c r="AL112" s="9">
        <v>7</v>
      </c>
      <c r="AM112" s="9"/>
      <c r="AN112" s="9" t="s">
        <v>149</v>
      </c>
      <c r="AO112" s="9" t="s">
        <v>554</v>
      </c>
      <c r="AP112" s="9" t="s">
        <v>555</v>
      </c>
      <c r="AQ112" s="9" t="s">
        <v>556</v>
      </c>
      <c r="AR112" s="9" t="s">
        <v>556</v>
      </c>
      <c r="AS112" s="9" t="s">
        <v>302</v>
      </c>
      <c r="AT112" s="9" t="s">
        <v>69</v>
      </c>
      <c r="AU112" s="9"/>
      <c r="AV112" s="9">
        <v>32</v>
      </c>
    </row>
    <row r="113" spans="1:48">
      <c r="A113" s="9">
        <f t="shared" si="1"/>
        <v>112</v>
      </c>
      <c r="B113" s="9" t="s">
        <v>574</v>
      </c>
      <c r="C113" s="9" t="s">
        <v>575</v>
      </c>
      <c r="D113" s="9">
        <v>1</v>
      </c>
      <c r="E113" s="9">
        <v>1</v>
      </c>
      <c r="F113" s="9" t="s">
        <v>50</v>
      </c>
      <c r="G113" s="9"/>
      <c r="H113" s="9"/>
      <c r="I113" s="9" t="s">
        <v>576</v>
      </c>
      <c r="J113" s="9" t="s">
        <v>53</v>
      </c>
      <c r="K113" s="9" t="s">
        <v>577</v>
      </c>
      <c r="L113" s="9" t="s">
        <v>578</v>
      </c>
      <c r="M113" s="9" t="s">
        <v>56</v>
      </c>
      <c r="N113" s="9" t="s">
        <v>297</v>
      </c>
      <c r="O113" s="9">
        <v>5001</v>
      </c>
      <c r="P113" s="9" t="s">
        <v>58</v>
      </c>
      <c r="Q113" s="9">
        <v>3937</v>
      </c>
      <c r="R113" s="9">
        <v>33</v>
      </c>
      <c r="S113" s="9"/>
      <c r="T113" s="9">
        <v>90</v>
      </c>
      <c r="U113" s="9">
        <v>8</v>
      </c>
      <c r="V113" s="9">
        <v>1</v>
      </c>
      <c r="W113" s="9">
        <v>1</v>
      </c>
      <c r="X113" s="9">
        <v>163</v>
      </c>
      <c r="Y113" s="9">
        <v>123.20403004</v>
      </c>
      <c r="Z113" s="9">
        <v>3</v>
      </c>
      <c r="AA113" s="9">
        <v>736</v>
      </c>
      <c r="AB113" s="9">
        <v>736</v>
      </c>
      <c r="AC113" s="9" t="s">
        <v>579</v>
      </c>
      <c r="AD113" s="9">
        <v>2.5</v>
      </c>
      <c r="AE113" s="9">
        <v>3.5</v>
      </c>
      <c r="AF113" s="9" t="s">
        <v>580</v>
      </c>
      <c r="AG113" s="9"/>
      <c r="AH113" s="9" t="s">
        <v>61</v>
      </c>
      <c r="AI113" s="9"/>
      <c r="AJ113" s="9">
        <v>100</v>
      </c>
      <c r="AK113" s="9" t="s">
        <v>581</v>
      </c>
      <c r="AL113" s="9">
        <v>18</v>
      </c>
      <c r="AM113" s="9"/>
      <c r="AN113" s="9" t="s">
        <v>582</v>
      </c>
      <c r="AO113" s="9" t="s">
        <v>583</v>
      </c>
      <c r="AP113" s="9" t="s">
        <v>584</v>
      </c>
      <c r="AQ113" s="9" t="s">
        <v>585</v>
      </c>
      <c r="AR113" s="9" t="s">
        <v>585</v>
      </c>
      <c r="AS113" s="9" t="s">
        <v>68</v>
      </c>
      <c r="AT113" s="9" t="s">
        <v>69</v>
      </c>
      <c r="AU113" s="9"/>
      <c r="AV113" s="9">
        <v>32</v>
      </c>
    </row>
    <row r="114" spans="1:48">
      <c r="A114" s="9">
        <f t="shared" si="1"/>
        <v>113</v>
      </c>
      <c r="B114" s="9" t="s">
        <v>574</v>
      </c>
      <c r="C114" s="9" t="s">
        <v>586</v>
      </c>
      <c r="D114" s="9">
        <v>1</v>
      </c>
      <c r="E114" s="9">
        <v>1</v>
      </c>
      <c r="F114" s="9" t="s">
        <v>91</v>
      </c>
      <c r="G114" s="9"/>
      <c r="H114" s="9"/>
      <c r="I114" s="9" t="s">
        <v>576</v>
      </c>
      <c r="J114" s="9" t="s">
        <v>53</v>
      </c>
      <c r="K114" s="9" t="s">
        <v>577</v>
      </c>
      <c r="L114" s="9" t="s">
        <v>578</v>
      </c>
      <c r="M114" s="9" t="s">
        <v>56</v>
      </c>
      <c r="N114" s="9" t="s">
        <v>297</v>
      </c>
      <c r="O114" s="9">
        <v>7001</v>
      </c>
      <c r="P114" s="9" t="s">
        <v>58</v>
      </c>
      <c r="Q114" s="9">
        <v>4306</v>
      </c>
      <c r="R114" s="9">
        <v>33</v>
      </c>
      <c r="S114" s="9"/>
      <c r="T114" s="9">
        <v>90</v>
      </c>
      <c r="U114" s="9">
        <v>8</v>
      </c>
      <c r="V114" s="9">
        <v>1</v>
      </c>
      <c r="W114" s="9">
        <v>1</v>
      </c>
      <c r="X114" s="9">
        <v>178</v>
      </c>
      <c r="Y114" s="9">
        <v>123.20403004</v>
      </c>
      <c r="Z114" s="9">
        <v>3</v>
      </c>
      <c r="AA114" s="9">
        <v>896</v>
      </c>
      <c r="AB114" s="9">
        <v>896</v>
      </c>
      <c r="AC114" s="9" t="s">
        <v>587</v>
      </c>
      <c r="AD114" s="9">
        <v>3</v>
      </c>
      <c r="AE114" s="9">
        <v>4</v>
      </c>
      <c r="AF114" s="9" t="s">
        <v>588</v>
      </c>
      <c r="AG114" s="9"/>
      <c r="AH114" s="9" t="s">
        <v>77</v>
      </c>
      <c r="AI114" s="9"/>
      <c r="AJ114" s="9">
        <v>100</v>
      </c>
      <c r="AK114" s="9" t="s">
        <v>589</v>
      </c>
      <c r="AL114" s="9">
        <v>25</v>
      </c>
      <c r="AM114" s="9"/>
      <c r="AN114" s="9" t="s">
        <v>582</v>
      </c>
      <c r="AO114" s="9" t="s">
        <v>583</v>
      </c>
      <c r="AP114" s="9" t="s">
        <v>584</v>
      </c>
      <c r="AQ114" s="9" t="s">
        <v>585</v>
      </c>
      <c r="AR114" s="9" t="s">
        <v>585</v>
      </c>
      <c r="AS114" s="9" t="s">
        <v>68</v>
      </c>
      <c r="AT114" s="9" t="s">
        <v>69</v>
      </c>
      <c r="AU114" s="9"/>
      <c r="AV114" s="9">
        <v>35</v>
      </c>
    </row>
    <row r="115" spans="1:48">
      <c r="A115" s="9">
        <f t="shared" si="1"/>
        <v>114</v>
      </c>
      <c r="B115" s="9" t="s">
        <v>574</v>
      </c>
      <c r="C115" s="9" t="s">
        <v>590</v>
      </c>
      <c r="D115" s="9">
        <v>0</v>
      </c>
      <c r="E115" s="9">
        <v>0</v>
      </c>
      <c r="F115" s="9" t="s">
        <v>50</v>
      </c>
      <c r="G115" s="9"/>
      <c r="H115" s="9"/>
      <c r="I115" s="9" t="s">
        <v>576</v>
      </c>
      <c r="J115" s="9" t="s">
        <v>53</v>
      </c>
      <c r="K115" s="9" t="s">
        <v>577</v>
      </c>
      <c r="L115" s="9" t="s">
        <v>591</v>
      </c>
      <c r="M115" s="9" t="s">
        <v>56</v>
      </c>
      <c r="N115" s="9" t="s">
        <v>297</v>
      </c>
      <c r="O115" s="9">
        <v>9001</v>
      </c>
      <c r="P115" s="9" t="s">
        <v>58</v>
      </c>
      <c r="Q115" s="9">
        <v>6725</v>
      </c>
      <c r="R115" s="9">
        <v>77</v>
      </c>
      <c r="S115" s="9"/>
      <c r="T115" s="9">
        <v>90</v>
      </c>
      <c r="U115" s="9">
        <v>17</v>
      </c>
      <c r="V115" s="9">
        <v>1</v>
      </c>
      <c r="W115" s="9">
        <v>1</v>
      </c>
      <c r="X115" s="9">
        <v>195</v>
      </c>
      <c r="Y115" s="9">
        <v>123.20403004</v>
      </c>
      <c r="Z115" s="9">
        <v>3</v>
      </c>
      <c r="AA115" s="9">
        <v>768</v>
      </c>
      <c r="AB115" s="9">
        <v>768</v>
      </c>
      <c r="AC115" s="9" t="s">
        <v>525</v>
      </c>
      <c r="AD115" s="9">
        <v>2.5</v>
      </c>
      <c r="AE115" s="9">
        <v>3.5</v>
      </c>
      <c r="AF115" s="9" t="s">
        <v>592</v>
      </c>
      <c r="AG115" s="9"/>
      <c r="AH115" s="9" t="s">
        <v>61</v>
      </c>
      <c r="AI115" s="9"/>
      <c r="AJ115" s="9">
        <v>100</v>
      </c>
      <c r="AK115" s="9" t="s">
        <v>581</v>
      </c>
      <c r="AL115" s="9">
        <v>16</v>
      </c>
      <c r="AM115" s="9"/>
      <c r="AN115" s="9" t="s">
        <v>582</v>
      </c>
      <c r="AO115" s="9" t="s">
        <v>583</v>
      </c>
      <c r="AP115" s="9" t="s">
        <v>584</v>
      </c>
      <c r="AQ115" s="9" t="s">
        <v>585</v>
      </c>
      <c r="AR115" s="9" t="s">
        <v>585</v>
      </c>
      <c r="AS115" s="9" t="s">
        <v>68</v>
      </c>
      <c r="AT115" s="9" t="s">
        <v>69</v>
      </c>
      <c r="AU115" s="9"/>
      <c r="AV115" s="9">
        <v>32</v>
      </c>
    </row>
    <row r="116" spans="1:48">
      <c r="A116" s="9">
        <f t="shared" si="1"/>
        <v>115</v>
      </c>
      <c r="B116" s="9" t="s">
        <v>574</v>
      </c>
      <c r="C116" s="9" t="s">
        <v>593</v>
      </c>
      <c r="D116" s="9">
        <v>1</v>
      </c>
      <c r="E116" s="9">
        <v>1</v>
      </c>
      <c r="F116" s="9" t="s">
        <v>72</v>
      </c>
      <c r="G116" s="9"/>
      <c r="H116" s="9"/>
      <c r="I116" s="9" t="s">
        <v>576</v>
      </c>
      <c r="J116" s="9" t="s">
        <v>53</v>
      </c>
      <c r="K116" s="9" t="s">
        <v>577</v>
      </c>
      <c r="L116" s="9" t="s">
        <v>578</v>
      </c>
      <c r="M116" s="9" t="s">
        <v>56</v>
      </c>
      <c r="N116" s="9" t="s">
        <v>297</v>
      </c>
      <c r="O116" s="9">
        <v>6001</v>
      </c>
      <c r="P116" s="9" t="s">
        <v>58</v>
      </c>
      <c r="Q116" s="9">
        <v>5076</v>
      </c>
      <c r="R116" s="9">
        <v>33</v>
      </c>
      <c r="S116" s="9"/>
      <c r="T116" s="9">
        <v>90</v>
      </c>
      <c r="U116" s="9">
        <v>10</v>
      </c>
      <c r="V116" s="9">
        <v>1</v>
      </c>
      <c r="W116" s="9">
        <v>1</v>
      </c>
      <c r="X116" s="9">
        <v>163</v>
      </c>
      <c r="Y116" s="9">
        <v>123.20403004</v>
      </c>
      <c r="Z116" s="9">
        <v>3</v>
      </c>
      <c r="AA116" s="9">
        <v>768</v>
      </c>
      <c r="AB116" s="9">
        <v>768</v>
      </c>
      <c r="AC116" s="9" t="s">
        <v>525</v>
      </c>
      <c r="AD116" s="9">
        <v>2.5</v>
      </c>
      <c r="AE116" s="9">
        <v>3.5</v>
      </c>
      <c r="AF116" s="9" t="s">
        <v>594</v>
      </c>
      <c r="AG116" s="9"/>
      <c r="AH116" s="9" t="s">
        <v>61</v>
      </c>
      <c r="AI116" s="9"/>
      <c r="AJ116" s="9">
        <v>100</v>
      </c>
      <c r="AK116" s="9" t="s">
        <v>595</v>
      </c>
      <c r="AL116" s="9">
        <v>11</v>
      </c>
      <c r="AM116" s="9"/>
      <c r="AN116" s="9" t="s">
        <v>582</v>
      </c>
      <c r="AO116" s="9" t="s">
        <v>583</v>
      </c>
      <c r="AP116" s="9" t="s">
        <v>584</v>
      </c>
      <c r="AQ116" s="9" t="s">
        <v>585</v>
      </c>
      <c r="AR116" s="9" t="s">
        <v>585</v>
      </c>
      <c r="AS116" s="9" t="s">
        <v>68</v>
      </c>
      <c r="AT116" s="9" t="s">
        <v>69</v>
      </c>
      <c r="AU116" s="9"/>
      <c r="AV116" s="9">
        <v>35</v>
      </c>
    </row>
    <row r="117" spans="1:48">
      <c r="A117" s="9">
        <f t="shared" si="1"/>
        <v>116</v>
      </c>
      <c r="B117" s="9" t="s">
        <v>574</v>
      </c>
      <c r="C117" s="9" t="s">
        <v>596</v>
      </c>
      <c r="D117" s="9">
        <v>0</v>
      </c>
      <c r="E117" s="9">
        <v>0</v>
      </c>
      <c r="F117" s="9" t="s">
        <v>91</v>
      </c>
      <c r="G117" s="9"/>
      <c r="H117" s="9"/>
      <c r="I117" s="9" t="s">
        <v>597</v>
      </c>
      <c r="J117" s="9" t="s">
        <v>53</v>
      </c>
      <c r="K117" s="9" t="s">
        <v>577</v>
      </c>
      <c r="L117" s="9" t="s">
        <v>591</v>
      </c>
      <c r="M117" s="9" t="s">
        <v>56</v>
      </c>
      <c r="N117" s="9" t="s">
        <v>297</v>
      </c>
      <c r="O117" s="9">
        <v>10001</v>
      </c>
      <c r="P117" s="9" t="s">
        <v>58</v>
      </c>
      <c r="Q117" s="9">
        <v>325</v>
      </c>
      <c r="R117" s="9">
        <v>10</v>
      </c>
      <c r="S117" s="9"/>
      <c r="T117" s="9">
        <v>90</v>
      </c>
      <c r="U117" s="9">
        <v>3</v>
      </c>
      <c r="V117" s="9">
        <v>1</v>
      </c>
      <c r="W117" s="9">
        <v>1</v>
      </c>
      <c r="X117" s="9">
        <v>244</v>
      </c>
      <c r="Y117" s="9">
        <v>123.20403004</v>
      </c>
      <c r="Z117" s="9">
        <v>3</v>
      </c>
      <c r="AA117" s="9">
        <v>832</v>
      </c>
      <c r="AB117" s="9">
        <v>832</v>
      </c>
      <c r="AC117" s="9" t="s">
        <v>598</v>
      </c>
      <c r="AD117" s="9">
        <v>3</v>
      </c>
      <c r="AE117" s="9">
        <v>4</v>
      </c>
      <c r="AF117" s="9" t="s">
        <v>599</v>
      </c>
      <c r="AG117" s="9"/>
      <c r="AH117" s="9" t="s">
        <v>77</v>
      </c>
      <c r="AI117" s="9"/>
      <c r="AJ117" s="9">
        <v>100</v>
      </c>
      <c r="AK117" s="9" t="s">
        <v>589</v>
      </c>
      <c r="AL117" s="9">
        <v>4</v>
      </c>
      <c r="AM117" s="9"/>
      <c r="AN117" s="9" t="s">
        <v>582</v>
      </c>
      <c r="AO117" s="9" t="s">
        <v>583</v>
      </c>
      <c r="AP117" s="9" t="s">
        <v>584</v>
      </c>
      <c r="AQ117" s="9" t="s">
        <v>585</v>
      </c>
      <c r="AR117" s="9" t="s">
        <v>585</v>
      </c>
      <c r="AS117" s="9" t="s">
        <v>68</v>
      </c>
      <c r="AT117" s="9" t="s">
        <v>69</v>
      </c>
      <c r="AU117" s="9"/>
      <c r="AV117" s="9">
        <v>35</v>
      </c>
    </row>
    <row r="118" spans="1:48">
      <c r="A118" s="9">
        <f t="shared" si="1"/>
        <v>117</v>
      </c>
      <c r="B118" s="9" t="s">
        <v>574</v>
      </c>
      <c r="C118" s="9" t="s">
        <v>600</v>
      </c>
      <c r="D118" s="9">
        <v>0</v>
      </c>
      <c r="E118" s="9">
        <v>0</v>
      </c>
      <c r="F118" s="9" t="s">
        <v>72</v>
      </c>
      <c r="G118" s="9"/>
      <c r="H118" s="9"/>
      <c r="I118" s="9" t="s">
        <v>597</v>
      </c>
      <c r="J118" s="9" t="s">
        <v>53</v>
      </c>
      <c r="K118" s="9" t="s">
        <v>577</v>
      </c>
      <c r="L118" s="9" t="s">
        <v>591</v>
      </c>
      <c r="M118" s="9" t="s">
        <v>56</v>
      </c>
      <c r="N118" s="9" t="s">
        <v>297</v>
      </c>
      <c r="O118" s="9">
        <v>8001</v>
      </c>
      <c r="P118" s="9" t="s">
        <v>58</v>
      </c>
      <c r="Q118" s="9">
        <v>310</v>
      </c>
      <c r="R118" s="9">
        <v>10</v>
      </c>
      <c r="S118" s="9"/>
      <c r="T118" s="9">
        <v>90</v>
      </c>
      <c r="U118" s="9">
        <v>3</v>
      </c>
      <c r="V118" s="9">
        <v>1</v>
      </c>
      <c r="W118" s="9">
        <v>1</v>
      </c>
      <c r="X118" s="9">
        <v>244</v>
      </c>
      <c r="Y118" s="9">
        <v>123.20403004</v>
      </c>
      <c r="Z118" s="9">
        <v>3</v>
      </c>
      <c r="AA118" s="9">
        <v>768</v>
      </c>
      <c r="AB118" s="9">
        <v>768</v>
      </c>
      <c r="AC118" s="9" t="s">
        <v>525</v>
      </c>
      <c r="AD118" s="9">
        <v>2.5</v>
      </c>
      <c r="AE118" s="9">
        <v>3.5</v>
      </c>
      <c r="AF118" s="9" t="s">
        <v>592</v>
      </c>
      <c r="AG118" s="9"/>
      <c r="AH118" s="9" t="s">
        <v>61</v>
      </c>
      <c r="AI118" s="9"/>
      <c r="AJ118" s="9">
        <v>100</v>
      </c>
      <c r="AK118" s="9" t="s">
        <v>595</v>
      </c>
      <c r="AL118" s="9">
        <v>34</v>
      </c>
      <c r="AM118" s="9"/>
      <c r="AN118" s="9" t="s">
        <v>582</v>
      </c>
      <c r="AO118" s="9" t="s">
        <v>583</v>
      </c>
      <c r="AP118" s="9" t="s">
        <v>584</v>
      </c>
      <c r="AQ118" s="9" t="s">
        <v>585</v>
      </c>
      <c r="AR118" s="9" t="s">
        <v>585</v>
      </c>
      <c r="AS118" s="9" t="s">
        <v>68</v>
      </c>
      <c r="AT118" s="9" t="s">
        <v>69</v>
      </c>
      <c r="AU118" s="9"/>
      <c r="AV118" s="9">
        <v>35</v>
      </c>
    </row>
    <row r="119" spans="1:48">
      <c r="A119" s="9">
        <f t="shared" si="1"/>
        <v>118</v>
      </c>
      <c r="B119" s="9" t="s">
        <v>574</v>
      </c>
      <c r="C119" s="9" t="s">
        <v>601</v>
      </c>
      <c r="D119" s="9">
        <v>0</v>
      </c>
      <c r="E119" s="9">
        <v>0</v>
      </c>
      <c r="F119" s="9" t="s">
        <v>91</v>
      </c>
      <c r="G119" s="9"/>
      <c r="H119" s="9"/>
      <c r="I119" s="9" t="s">
        <v>576</v>
      </c>
      <c r="J119" s="9" t="s">
        <v>53</v>
      </c>
      <c r="K119" s="9" t="s">
        <v>577</v>
      </c>
      <c r="L119" s="9" t="s">
        <v>591</v>
      </c>
      <c r="M119" s="9" t="s">
        <v>56</v>
      </c>
      <c r="N119" s="9" t="s">
        <v>297</v>
      </c>
      <c r="O119" s="9">
        <v>11001</v>
      </c>
      <c r="P119" s="9" t="s">
        <v>58</v>
      </c>
      <c r="Q119" s="9">
        <v>7355</v>
      </c>
      <c r="R119" s="9">
        <v>77</v>
      </c>
      <c r="S119" s="9"/>
      <c r="T119" s="9">
        <v>90</v>
      </c>
      <c r="U119" s="9">
        <v>17</v>
      </c>
      <c r="V119" s="9">
        <v>1</v>
      </c>
      <c r="W119" s="9">
        <v>1</v>
      </c>
      <c r="X119" s="9">
        <v>195</v>
      </c>
      <c r="Y119" s="9">
        <v>123.20403004</v>
      </c>
      <c r="Z119" s="9">
        <v>3</v>
      </c>
      <c r="AA119" s="9">
        <v>832</v>
      </c>
      <c r="AB119" s="9">
        <v>832</v>
      </c>
      <c r="AC119" s="9" t="s">
        <v>598</v>
      </c>
      <c r="AD119" s="9">
        <v>3</v>
      </c>
      <c r="AE119" s="9">
        <v>4</v>
      </c>
      <c r="AF119" s="9" t="s">
        <v>599</v>
      </c>
      <c r="AG119" s="9"/>
      <c r="AH119" s="9" t="s">
        <v>77</v>
      </c>
      <c r="AI119" s="9"/>
      <c r="AJ119" s="9">
        <v>100</v>
      </c>
      <c r="AK119" s="9" t="s">
        <v>589</v>
      </c>
      <c r="AL119" s="9">
        <v>24</v>
      </c>
      <c r="AM119" s="9"/>
      <c r="AN119" s="9" t="s">
        <v>582</v>
      </c>
      <c r="AO119" s="9" t="s">
        <v>583</v>
      </c>
      <c r="AP119" s="9" t="s">
        <v>584</v>
      </c>
      <c r="AQ119" s="9" t="s">
        <v>585</v>
      </c>
      <c r="AR119" s="9" t="s">
        <v>585</v>
      </c>
      <c r="AS119" s="9" t="s">
        <v>68</v>
      </c>
      <c r="AT119" s="9" t="s">
        <v>69</v>
      </c>
      <c r="AU119" s="9"/>
      <c r="AV119" s="9">
        <v>35</v>
      </c>
    </row>
    <row r="120" spans="1:48">
      <c r="A120" s="9">
        <f t="shared" si="1"/>
        <v>119</v>
      </c>
      <c r="B120" s="9" t="s">
        <v>602</v>
      </c>
      <c r="C120" s="9" t="s">
        <v>603</v>
      </c>
      <c r="D120" s="9">
        <v>0</v>
      </c>
      <c r="E120" s="9">
        <v>0</v>
      </c>
      <c r="F120" s="9" t="s">
        <v>72</v>
      </c>
      <c r="G120" s="9" t="s">
        <v>604</v>
      </c>
      <c r="H120" s="9"/>
      <c r="I120" s="9"/>
      <c r="J120" s="9" t="s">
        <v>53</v>
      </c>
      <c r="K120" s="9" t="s">
        <v>97</v>
      </c>
      <c r="L120" s="9" t="s">
        <v>605</v>
      </c>
      <c r="M120" s="9" t="s">
        <v>56</v>
      </c>
      <c r="N120" s="9" t="s">
        <v>145</v>
      </c>
      <c r="O120" s="9">
        <v>6</v>
      </c>
      <c r="P120" s="9" t="s">
        <v>58</v>
      </c>
      <c r="Q120" s="9">
        <v>777</v>
      </c>
      <c r="R120" s="9">
        <v>6.992</v>
      </c>
      <c r="S120" s="9"/>
      <c r="T120" s="9">
        <v>142</v>
      </c>
      <c r="U120" s="9">
        <v>2</v>
      </c>
      <c r="V120" s="9">
        <v>1</v>
      </c>
      <c r="W120" s="9">
        <v>1</v>
      </c>
      <c r="X120" s="9">
        <v>162.754</v>
      </c>
      <c r="Y120" s="9">
        <v>127.766627</v>
      </c>
      <c r="Z120" s="9">
        <v>3</v>
      </c>
      <c r="AA120" s="9">
        <v>1024</v>
      </c>
      <c r="AB120" s="9">
        <v>1024</v>
      </c>
      <c r="AC120" s="9" t="s">
        <v>606</v>
      </c>
      <c r="AD120" s="9">
        <v>3</v>
      </c>
      <c r="AE120" s="9">
        <v>4</v>
      </c>
      <c r="AF120" s="9" t="s">
        <v>607</v>
      </c>
      <c r="AG120" s="9"/>
      <c r="AH120" s="9" t="s">
        <v>77</v>
      </c>
      <c r="AI120" s="9">
        <v>100</v>
      </c>
      <c r="AJ120" s="9">
        <v>100</v>
      </c>
      <c r="AK120" s="9" t="s">
        <v>608</v>
      </c>
      <c r="AL120" s="9">
        <v>30</v>
      </c>
      <c r="AM120" s="9"/>
      <c r="AN120" s="9" t="s">
        <v>149</v>
      </c>
      <c r="AO120" s="9" t="s">
        <v>609</v>
      </c>
      <c r="AP120" s="9" t="s">
        <v>610</v>
      </c>
      <c r="AQ120" s="9" t="s">
        <v>611</v>
      </c>
      <c r="AR120" s="9" t="s">
        <v>611</v>
      </c>
      <c r="AS120" s="9" t="s">
        <v>68</v>
      </c>
      <c r="AT120" s="9" t="s">
        <v>69</v>
      </c>
      <c r="AU120" s="9"/>
      <c r="AV120" s="9">
        <v>30</v>
      </c>
    </row>
    <row r="121" spans="1:48">
      <c r="A121" s="9">
        <f t="shared" si="1"/>
        <v>120</v>
      </c>
      <c r="B121" s="9" t="s">
        <v>602</v>
      </c>
      <c r="C121" s="9" t="s">
        <v>612</v>
      </c>
      <c r="D121" s="9">
        <v>0</v>
      </c>
      <c r="E121" s="9">
        <v>0</v>
      </c>
      <c r="F121" s="9" t="s">
        <v>50</v>
      </c>
      <c r="G121" s="9" t="s">
        <v>604</v>
      </c>
      <c r="H121" s="9"/>
      <c r="I121" s="9"/>
      <c r="J121" s="9" t="s">
        <v>437</v>
      </c>
      <c r="K121" s="9" t="s">
        <v>613</v>
      </c>
      <c r="L121" s="9" t="s">
        <v>614</v>
      </c>
      <c r="M121" s="9" t="s">
        <v>615</v>
      </c>
      <c r="N121" s="9" t="s">
        <v>145</v>
      </c>
      <c r="O121" s="9">
        <v>7</v>
      </c>
      <c r="P121" s="9" t="s">
        <v>58</v>
      </c>
      <c r="Q121" s="9">
        <v>35.9</v>
      </c>
      <c r="R121" s="9">
        <v>11.644</v>
      </c>
      <c r="S121" s="9"/>
      <c r="T121" s="9">
        <v>5</v>
      </c>
      <c r="U121" s="9">
        <v>3</v>
      </c>
      <c r="V121" s="9">
        <v>1</v>
      </c>
      <c r="W121" s="9">
        <v>0.701395</v>
      </c>
      <c r="X121" s="9">
        <v>162.773</v>
      </c>
      <c r="Y121" s="9">
        <v>127.76662</v>
      </c>
      <c r="Z121" s="9">
        <v>3</v>
      </c>
      <c r="AA121" s="9">
        <v>512</v>
      </c>
      <c r="AB121" s="9">
        <v>512</v>
      </c>
      <c r="AC121" s="9" t="s">
        <v>311</v>
      </c>
      <c r="AD121" s="9">
        <v>1.6</v>
      </c>
      <c r="AE121" s="9">
        <v>0.8</v>
      </c>
      <c r="AF121" s="9" t="s">
        <v>234</v>
      </c>
      <c r="AG121" s="9"/>
      <c r="AH121" s="9" t="s">
        <v>77</v>
      </c>
      <c r="AI121" s="9">
        <v>70.1395</v>
      </c>
      <c r="AJ121" s="9">
        <v>100</v>
      </c>
      <c r="AK121" s="9" t="s">
        <v>616</v>
      </c>
      <c r="AL121" s="9">
        <v>115</v>
      </c>
      <c r="AM121" s="9"/>
      <c r="AN121" s="9" t="s">
        <v>149</v>
      </c>
      <c r="AO121" s="9" t="s">
        <v>609</v>
      </c>
      <c r="AP121" s="9" t="s">
        <v>610</v>
      </c>
      <c r="AQ121" s="9" t="s">
        <v>611</v>
      </c>
      <c r="AR121" s="9" t="s">
        <v>611</v>
      </c>
      <c r="AS121" s="9" t="s">
        <v>68</v>
      </c>
      <c r="AT121" s="9" t="s">
        <v>69</v>
      </c>
      <c r="AU121" s="9"/>
      <c r="AV121" s="9">
        <v>136</v>
      </c>
    </row>
    <row r="122" spans="1:48">
      <c r="A122" s="9">
        <f t="shared" si="1"/>
        <v>121</v>
      </c>
      <c r="B122" s="9" t="s">
        <v>602</v>
      </c>
      <c r="C122" s="9" t="s">
        <v>617</v>
      </c>
      <c r="D122" s="9">
        <v>1</v>
      </c>
      <c r="E122" s="9">
        <v>1</v>
      </c>
      <c r="F122" s="9" t="s">
        <v>72</v>
      </c>
      <c r="G122" s="9" t="s">
        <v>604</v>
      </c>
      <c r="H122" s="9"/>
      <c r="I122" s="9"/>
      <c r="J122" s="9" t="s">
        <v>53</v>
      </c>
      <c r="K122" s="9" t="s">
        <v>97</v>
      </c>
      <c r="L122" s="9" t="s">
        <v>618</v>
      </c>
      <c r="M122" s="9" t="s">
        <v>56</v>
      </c>
      <c r="N122" s="9" t="s">
        <v>145</v>
      </c>
      <c r="O122" s="9">
        <v>40005</v>
      </c>
      <c r="P122" s="9" t="s">
        <v>58</v>
      </c>
      <c r="Q122" s="9">
        <v>2282</v>
      </c>
      <c r="R122" s="9">
        <v>27.24</v>
      </c>
      <c r="S122" s="9"/>
      <c r="T122" s="9">
        <v>142</v>
      </c>
      <c r="U122" s="9">
        <v>10</v>
      </c>
      <c r="V122" s="9">
        <v>1</v>
      </c>
      <c r="W122" s="9">
        <v>1</v>
      </c>
      <c r="X122" s="9">
        <v>122.07</v>
      </c>
      <c r="Y122" s="9">
        <v>127.766628</v>
      </c>
      <c r="Z122" s="9">
        <v>3</v>
      </c>
      <c r="AA122" s="9">
        <v>1024</v>
      </c>
      <c r="AB122" s="9">
        <v>1024</v>
      </c>
      <c r="AC122" s="9" t="s">
        <v>606</v>
      </c>
      <c r="AD122" s="9">
        <v>3</v>
      </c>
      <c r="AE122" s="9">
        <v>4</v>
      </c>
      <c r="AF122" s="9" t="s">
        <v>619</v>
      </c>
      <c r="AG122" s="9"/>
      <c r="AH122" s="9" t="s">
        <v>77</v>
      </c>
      <c r="AI122" s="9">
        <v>100</v>
      </c>
      <c r="AJ122" s="9">
        <v>100</v>
      </c>
      <c r="AK122" s="9" t="s">
        <v>620</v>
      </c>
      <c r="AL122" s="9">
        <v>1</v>
      </c>
      <c r="AM122" s="9"/>
      <c r="AN122" s="9" t="s">
        <v>149</v>
      </c>
      <c r="AO122" s="9" t="s">
        <v>609</v>
      </c>
      <c r="AP122" s="9" t="s">
        <v>610</v>
      </c>
      <c r="AQ122" s="9" t="s">
        <v>611</v>
      </c>
      <c r="AR122" s="9" t="s">
        <v>611</v>
      </c>
      <c r="AS122" s="9" t="s">
        <v>68</v>
      </c>
      <c r="AT122" s="9" t="s">
        <v>69</v>
      </c>
      <c r="AU122" s="9"/>
      <c r="AV122" s="9">
        <v>30</v>
      </c>
    </row>
    <row r="123" spans="1:48">
      <c r="A123" s="9">
        <f t="shared" si="1"/>
        <v>122</v>
      </c>
      <c r="B123" s="9" t="s">
        <v>602</v>
      </c>
      <c r="C123" s="9" t="s">
        <v>621</v>
      </c>
      <c r="D123" s="9">
        <v>1</v>
      </c>
      <c r="E123" s="9">
        <v>1</v>
      </c>
      <c r="F123" s="9" t="s">
        <v>91</v>
      </c>
      <c r="G123" s="9" t="s">
        <v>604</v>
      </c>
      <c r="H123" s="9"/>
      <c r="I123" s="9"/>
      <c r="J123" s="9" t="s">
        <v>53</v>
      </c>
      <c r="K123" s="9" t="s">
        <v>143</v>
      </c>
      <c r="L123" s="9" t="s">
        <v>622</v>
      </c>
      <c r="M123" s="9" t="s">
        <v>56</v>
      </c>
      <c r="N123" s="9" t="s">
        <v>145</v>
      </c>
      <c r="O123" s="9">
        <v>4</v>
      </c>
      <c r="P123" s="9" t="s">
        <v>58</v>
      </c>
      <c r="Q123" s="9">
        <v>2132</v>
      </c>
      <c r="R123" s="9">
        <v>32.288</v>
      </c>
      <c r="S123" s="9"/>
      <c r="T123" s="9">
        <v>142</v>
      </c>
      <c r="U123" s="9">
        <v>10</v>
      </c>
      <c r="V123" s="9">
        <v>1</v>
      </c>
      <c r="W123" s="9">
        <v>1</v>
      </c>
      <c r="X123" s="9">
        <v>122.07</v>
      </c>
      <c r="Y123" s="9">
        <v>127.766597</v>
      </c>
      <c r="Z123" s="9">
        <v>3</v>
      </c>
      <c r="AA123" s="9">
        <v>1024</v>
      </c>
      <c r="AB123" s="9">
        <v>1024</v>
      </c>
      <c r="AC123" s="9" t="s">
        <v>606</v>
      </c>
      <c r="AD123" s="9">
        <v>3</v>
      </c>
      <c r="AE123" s="9">
        <v>4</v>
      </c>
      <c r="AF123" s="9" t="s">
        <v>623</v>
      </c>
      <c r="AG123" s="9"/>
      <c r="AH123" s="9" t="s">
        <v>77</v>
      </c>
      <c r="AI123" s="9">
        <v>100</v>
      </c>
      <c r="AJ123" s="9">
        <v>100</v>
      </c>
      <c r="AK123" s="9" t="s">
        <v>624</v>
      </c>
      <c r="AL123" s="9">
        <v>10</v>
      </c>
      <c r="AM123" s="9"/>
      <c r="AN123" s="9" t="s">
        <v>149</v>
      </c>
      <c r="AO123" s="9" t="s">
        <v>609</v>
      </c>
      <c r="AP123" s="9" t="s">
        <v>610</v>
      </c>
      <c r="AQ123" s="9" t="s">
        <v>611</v>
      </c>
      <c r="AR123" s="9" t="s">
        <v>611</v>
      </c>
      <c r="AS123" s="9" t="s">
        <v>68</v>
      </c>
      <c r="AT123" s="9" t="s">
        <v>69</v>
      </c>
      <c r="AU123" s="9"/>
      <c r="AV123" s="9">
        <v>30</v>
      </c>
    </row>
    <row r="124" spans="1:48">
      <c r="A124" s="9">
        <f t="shared" si="1"/>
        <v>123</v>
      </c>
      <c r="B124" s="9" t="s">
        <v>602</v>
      </c>
      <c r="C124" s="9" t="s">
        <v>625</v>
      </c>
      <c r="D124" s="9">
        <v>1</v>
      </c>
      <c r="E124" s="9">
        <v>1</v>
      </c>
      <c r="F124" s="9" t="s">
        <v>50</v>
      </c>
      <c r="G124" s="9" t="s">
        <v>604</v>
      </c>
      <c r="H124" s="9"/>
      <c r="I124" s="9"/>
      <c r="J124" s="9" t="s">
        <v>53</v>
      </c>
      <c r="K124" s="9" t="s">
        <v>143</v>
      </c>
      <c r="L124" s="9" t="s">
        <v>626</v>
      </c>
      <c r="M124" s="9" t="s">
        <v>56</v>
      </c>
      <c r="N124" s="9" t="s">
        <v>145</v>
      </c>
      <c r="O124" s="9">
        <v>2</v>
      </c>
      <c r="P124" s="9" t="s">
        <v>58</v>
      </c>
      <c r="Q124" s="9">
        <v>5263</v>
      </c>
      <c r="R124" s="9">
        <v>66.456</v>
      </c>
      <c r="S124" s="9"/>
      <c r="T124" s="9">
        <v>142</v>
      </c>
      <c r="U124" s="9">
        <v>14</v>
      </c>
      <c r="V124" s="9">
        <v>1</v>
      </c>
      <c r="W124" s="9">
        <v>1</v>
      </c>
      <c r="X124" s="9">
        <v>122.07</v>
      </c>
      <c r="Y124" s="9">
        <v>127.766627</v>
      </c>
      <c r="Z124" s="9">
        <v>3</v>
      </c>
      <c r="AA124" s="9">
        <v>1024</v>
      </c>
      <c r="AB124" s="9">
        <v>1024</v>
      </c>
      <c r="AC124" s="9" t="s">
        <v>606</v>
      </c>
      <c r="AD124" s="9">
        <v>3</v>
      </c>
      <c r="AE124" s="9">
        <v>4</v>
      </c>
      <c r="AF124" s="9" t="s">
        <v>627</v>
      </c>
      <c r="AG124" s="9"/>
      <c r="AH124" s="9" t="s">
        <v>61</v>
      </c>
      <c r="AI124" s="9">
        <v>100</v>
      </c>
      <c r="AJ124" s="9">
        <v>100</v>
      </c>
      <c r="AK124" s="9" t="s">
        <v>628</v>
      </c>
      <c r="AL124" s="9">
        <v>5</v>
      </c>
      <c r="AM124" s="9"/>
      <c r="AN124" s="9" t="s">
        <v>149</v>
      </c>
      <c r="AO124" s="9" t="s">
        <v>609</v>
      </c>
      <c r="AP124" s="9" t="s">
        <v>610</v>
      </c>
      <c r="AQ124" s="9" t="s">
        <v>611</v>
      </c>
      <c r="AR124" s="9" t="s">
        <v>611</v>
      </c>
      <c r="AS124" s="9" t="s">
        <v>68</v>
      </c>
      <c r="AT124" s="9" t="s">
        <v>69</v>
      </c>
      <c r="AU124" s="9"/>
      <c r="AV124" s="9">
        <v>28</v>
      </c>
    </row>
    <row r="125" spans="1:48">
      <c r="A125" s="9">
        <f t="shared" si="1"/>
        <v>124</v>
      </c>
      <c r="B125" s="9" t="s">
        <v>602</v>
      </c>
      <c r="C125" s="9" t="s">
        <v>629</v>
      </c>
      <c r="D125" s="9">
        <v>0</v>
      </c>
      <c r="E125" s="9">
        <v>0</v>
      </c>
      <c r="F125" s="9" t="s">
        <v>50</v>
      </c>
      <c r="G125" s="9" t="s">
        <v>604</v>
      </c>
      <c r="H125" s="9"/>
      <c r="I125" s="9"/>
      <c r="J125" s="9" t="s">
        <v>170</v>
      </c>
      <c r="K125" s="9" t="s">
        <v>577</v>
      </c>
      <c r="L125" s="9" t="s">
        <v>630</v>
      </c>
      <c r="M125" s="9" t="s">
        <v>615</v>
      </c>
      <c r="N125" s="9" t="s">
        <v>145</v>
      </c>
      <c r="O125" s="9">
        <v>40008</v>
      </c>
      <c r="P125" s="9" t="s">
        <v>58</v>
      </c>
      <c r="Q125" s="9">
        <v>614.443</v>
      </c>
      <c r="R125" s="9">
        <v>0.016</v>
      </c>
      <c r="S125" s="9"/>
      <c r="T125" s="9">
        <v>1</v>
      </c>
      <c r="U125" s="9">
        <v>1</v>
      </c>
      <c r="V125" s="9">
        <v>1</v>
      </c>
      <c r="W125" s="9">
        <v>4</v>
      </c>
      <c r="X125" s="9">
        <v>244.141</v>
      </c>
      <c r="Y125" s="9">
        <v>127.766627</v>
      </c>
      <c r="Z125" s="9">
        <v>3</v>
      </c>
      <c r="AA125" s="9">
        <v>512</v>
      </c>
      <c r="AB125" s="9">
        <v>512</v>
      </c>
      <c r="AC125" s="9" t="s">
        <v>186</v>
      </c>
      <c r="AD125" s="9">
        <v>1.96</v>
      </c>
      <c r="AE125" s="9">
        <v>1</v>
      </c>
      <c r="AF125" s="9" t="s">
        <v>631</v>
      </c>
      <c r="AG125" s="9"/>
      <c r="AH125" s="9" t="s">
        <v>77</v>
      </c>
      <c r="AI125" s="9">
        <v>100</v>
      </c>
      <c r="AJ125" s="9">
        <v>100</v>
      </c>
      <c r="AK125" s="9" t="s">
        <v>632</v>
      </c>
      <c r="AL125" s="9">
        <v>26</v>
      </c>
      <c r="AM125" s="9"/>
      <c r="AN125" s="9" t="s">
        <v>149</v>
      </c>
      <c r="AO125" s="9" t="s">
        <v>609</v>
      </c>
      <c r="AP125" s="9" t="s">
        <v>610</v>
      </c>
      <c r="AQ125" s="9" t="s">
        <v>611</v>
      </c>
      <c r="AR125" s="9" t="s">
        <v>611</v>
      </c>
      <c r="AS125" s="9" t="s">
        <v>633</v>
      </c>
      <c r="AT125" s="9" t="s">
        <v>69</v>
      </c>
      <c r="AU125" s="9"/>
      <c r="AV125" s="9">
        <v>130</v>
      </c>
    </row>
    <row r="126" spans="1:48">
      <c r="A126" s="9">
        <f t="shared" si="1"/>
        <v>125</v>
      </c>
      <c r="B126" s="9" t="s">
        <v>602</v>
      </c>
      <c r="C126" s="9" t="s">
        <v>634</v>
      </c>
      <c r="D126" s="9">
        <v>0</v>
      </c>
      <c r="E126" s="9">
        <v>0</v>
      </c>
      <c r="F126" s="9" t="s">
        <v>50</v>
      </c>
      <c r="G126" s="9" t="s">
        <v>604</v>
      </c>
      <c r="H126" s="9"/>
      <c r="I126" s="9"/>
      <c r="J126" s="9" t="s">
        <v>170</v>
      </c>
      <c r="K126" s="9" t="s">
        <v>577</v>
      </c>
      <c r="L126" s="9" t="s">
        <v>635</v>
      </c>
      <c r="M126" s="9" t="s">
        <v>615</v>
      </c>
      <c r="N126" s="9" t="s">
        <v>145</v>
      </c>
      <c r="O126" s="9">
        <v>8</v>
      </c>
      <c r="P126" s="9" t="s">
        <v>58</v>
      </c>
      <c r="Q126" s="9">
        <v>614.443</v>
      </c>
      <c r="R126" s="9">
        <v>0.016</v>
      </c>
      <c r="S126" s="9"/>
      <c r="T126" s="9">
        <v>1</v>
      </c>
      <c r="U126" s="9">
        <v>1</v>
      </c>
      <c r="V126" s="9">
        <v>1</v>
      </c>
      <c r="W126" s="9">
        <v>4</v>
      </c>
      <c r="X126" s="9">
        <v>244.141</v>
      </c>
      <c r="Y126" s="9">
        <v>127.766627</v>
      </c>
      <c r="Z126" s="9">
        <v>3</v>
      </c>
      <c r="AA126" s="9">
        <v>512</v>
      </c>
      <c r="AB126" s="9">
        <v>512</v>
      </c>
      <c r="AC126" s="9" t="s">
        <v>186</v>
      </c>
      <c r="AD126" s="9">
        <v>1.96</v>
      </c>
      <c r="AE126" s="9">
        <v>1</v>
      </c>
      <c r="AF126" s="9" t="s">
        <v>631</v>
      </c>
      <c r="AG126" s="9"/>
      <c r="AH126" s="9" t="s">
        <v>77</v>
      </c>
      <c r="AI126" s="9">
        <v>100</v>
      </c>
      <c r="AJ126" s="9">
        <v>100</v>
      </c>
      <c r="AK126" s="9" t="s">
        <v>632</v>
      </c>
      <c r="AL126" s="9">
        <v>49</v>
      </c>
      <c r="AM126" s="9"/>
      <c r="AN126" s="9" t="s">
        <v>149</v>
      </c>
      <c r="AO126" s="9" t="s">
        <v>609</v>
      </c>
      <c r="AP126" s="9" t="s">
        <v>610</v>
      </c>
      <c r="AQ126" s="9" t="s">
        <v>611</v>
      </c>
      <c r="AR126" s="9" t="s">
        <v>611</v>
      </c>
      <c r="AS126" s="9" t="s">
        <v>633</v>
      </c>
      <c r="AT126" s="9" t="s">
        <v>69</v>
      </c>
      <c r="AU126" s="9"/>
      <c r="AV126" s="9">
        <v>130</v>
      </c>
    </row>
    <row r="127" spans="1:48">
      <c r="A127" s="9">
        <f t="shared" si="1"/>
        <v>126</v>
      </c>
      <c r="B127" s="9" t="s">
        <v>602</v>
      </c>
      <c r="C127" s="9" t="s">
        <v>636</v>
      </c>
      <c r="D127" s="9">
        <v>1</v>
      </c>
      <c r="E127" s="9">
        <v>1</v>
      </c>
      <c r="F127" s="9" t="s">
        <v>50</v>
      </c>
      <c r="G127" s="9" t="s">
        <v>604</v>
      </c>
      <c r="H127" s="9"/>
      <c r="I127" s="9"/>
      <c r="J127" s="9" t="s">
        <v>53</v>
      </c>
      <c r="K127" s="9" t="s">
        <v>143</v>
      </c>
      <c r="L127" s="9" t="s">
        <v>626</v>
      </c>
      <c r="M127" s="9" t="s">
        <v>56</v>
      </c>
      <c r="N127" s="9" t="s">
        <v>145</v>
      </c>
      <c r="O127" s="9">
        <v>3</v>
      </c>
      <c r="P127" s="9" t="s">
        <v>58</v>
      </c>
      <c r="Q127" s="9">
        <v>2243</v>
      </c>
      <c r="R127" s="9">
        <v>31.168</v>
      </c>
      <c r="S127" s="9"/>
      <c r="T127" s="9">
        <v>142</v>
      </c>
      <c r="U127" s="9">
        <v>9</v>
      </c>
      <c r="V127" s="9">
        <v>1</v>
      </c>
      <c r="W127" s="9">
        <v>1</v>
      </c>
      <c r="X127" s="9">
        <v>162.754</v>
      </c>
      <c r="Y127" s="9">
        <v>127.76662</v>
      </c>
      <c r="Z127" s="9">
        <v>3</v>
      </c>
      <c r="AA127" s="9">
        <v>1024</v>
      </c>
      <c r="AB127" s="9">
        <v>1024</v>
      </c>
      <c r="AC127" s="9" t="s">
        <v>606</v>
      </c>
      <c r="AD127" s="9">
        <v>3</v>
      </c>
      <c r="AE127" s="9">
        <v>4</v>
      </c>
      <c r="AF127" s="9" t="s">
        <v>637</v>
      </c>
      <c r="AG127" s="9"/>
      <c r="AH127" s="9" t="s">
        <v>61</v>
      </c>
      <c r="AI127" s="9">
        <v>100</v>
      </c>
      <c r="AJ127" s="9">
        <v>100</v>
      </c>
      <c r="AK127" s="9" t="s">
        <v>628</v>
      </c>
      <c r="AL127" s="9">
        <v>1</v>
      </c>
      <c r="AM127" s="9"/>
      <c r="AN127" s="9" t="s">
        <v>149</v>
      </c>
      <c r="AO127" s="9" t="s">
        <v>609</v>
      </c>
      <c r="AP127" s="9" t="s">
        <v>610</v>
      </c>
      <c r="AQ127" s="9" t="s">
        <v>611</v>
      </c>
      <c r="AR127" s="9" t="s">
        <v>611</v>
      </c>
      <c r="AS127" s="9" t="s">
        <v>68</v>
      </c>
      <c r="AT127" s="9" t="s">
        <v>69</v>
      </c>
      <c r="AU127" s="9"/>
      <c r="AV127" s="9">
        <v>28</v>
      </c>
    </row>
    <row r="128" spans="1:48">
      <c r="A128" s="9">
        <f t="shared" si="1"/>
        <v>127</v>
      </c>
      <c r="B128" s="9" t="s">
        <v>602</v>
      </c>
      <c r="C128" s="9" t="s">
        <v>638</v>
      </c>
      <c r="D128" s="9">
        <v>1</v>
      </c>
      <c r="E128" s="9">
        <v>1</v>
      </c>
      <c r="F128" s="9" t="s">
        <v>72</v>
      </c>
      <c r="G128" s="9" t="s">
        <v>604</v>
      </c>
      <c r="H128" s="9"/>
      <c r="I128" s="9"/>
      <c r="J128" s="9" t="s">
        <v>53</v>
      </c>
      <c r="K128" s="9" t="s">
        <v>97</v>
      </c>
      <c r="L128" s="9" t="s">
        <v>639</v>
      </c>
      <c r="M128" s="9" t="s">
        <v>56</v>
      </c>
      <c r="N128" s="9" t="s">
        <v>145</v>
      </c>
      <c r="O128" s="9">
        <v>5</v>
      </c>
      <c r="P128" s="9" t="s">
        <v>58</v>
      </c>
      <c r="Q128" s="9">
        <v>2282</v>
      </c>
      <c r="R128" s="9">
        <v>27.24</v>
      </c>
      <c r="S128" s="9"/>
      <c r="T128" s="9">
        <v>142</v>
      </c>
      <c r="U128" s="9">
        <v>10</v>
      </c>
      <c r="V128" s="9">
        <v>1</v>
      </c>
      <c r="W128" s="9">
        <v>1</v>
      </c>
      <c r="X128" s="9">
        <v>122.07</v>
      </c>
      <c r="Y128" s="9">
        <v>127.766628</v>
      </c>
      <c r="Z128" s="9">
        <v>3</v>
      </c>
      <c r="AA128" s="9">
        <v>1024</v>
      </c>
      <c r="AB128" s="9">
        <v>1024</v>
      </c>
      <c r="AC128" s="9" t="s">
        <v>606</v>
      </c>
      <c r="AD128" s="9">
        <v>3</v>
      </c>
      <c r="AE128" s="9">
        <v>4</v>
      </c>
      <c r="AF128" s="9" t="s">
        <v>619</v>
      </c>
      <c r="AG128" s="9"/>
      <c r="AH128" s="9" t="s">
        <v>77</v>
      </c>
      <c r="AI128" s="9">
        <v>100</v>
      </c>
      <c r="AJ128" s="9">
        <v>100</v>
      </c>
      <c r="AK128" s="9" t="s">
        <v>620</v>
      </c>
      <c r="AL128" s="9">
        <v>14</v>
      </c>
      <c r="AM128" s="9"/>
      <c r="AN128" s="9" t="s">
        <v>149</v>
      </c>
      <c r="AO128" s="9" t="s">
        <v>609</v>
      </c>
      <c r="AP128" s="9" t="s">
        <v>610</v>
      </c>
      <c r="AQ128" s="9" t="s">
        <v>611</v>
      </c>
      <c r="AR128" s="9" t="s">
        <v>611</v>
      </c>
      <c r="AS128" s="9" t="s">
        <v>68</v>
      </c>
      <c r="AT128" s="9" t="s">
        <v>69</v>
      </c>
      <c r="AU128" s="9"/>
      <c r="AV128" s="9">
        <v>30</v>
      </c>
    </row>
    <row r="129" spans="1:48">
      <c r="A129" s="9">
        <f t="shared" si="1"/>
        <v>128</v>
      </c>
      <c r="B129" s="9" t="s">
        <v>640</v>
      </c>
      <c r="C129" s="9" t="s">
        <v>641</v>
      </c>
      <c r="D129" s="9">
        <v>0</v>
      </c>
      <c r="E129" s="9">
        <v>0</v>
      </c>
      <c r="F129" s="9" t="s">
        <v>72</v>
      </c>
      <c r="G129" s="9" t="s">
        <v>642</v>
      </c>
      <c r="H129" s="9"/>
      <c r="I129" s="9" t="s">
        <v>643</v>
      </c>
      <c r="J129" s="9" t="s">
        <v>53</v>
      </c>
      <c r="K129" s="9" t="s">
        <v>206</v>
      </c>
      <c r="L129" s="9"/>
      <c r="M129" s="9" t="s">
        <v>56</v>
      </c>
      <c r="N129" s="9" t="s">
        <v>644</v>
      </c>
      <c r="O129" s="9">
        <v>6</v>
      </c>
      <c r="P129" s="9" t="s">
        <v>58</v>
      </c>
      <c r="Q129" s="9">
        <v>645</v>
      </c>
      <c r="R129" s="9">
        <v>19</v>
      </c>
      <c r="S129" s="9"/>
      <c r="T129" s="9">
        <v>150</v>
      </c>
      <c r="U129" s="9">
        <v>4</v>
      </c>
      <c r="V129" s="9">
        <v>1</v>
      </c>
      <c r="W129" s="9">
        <v>1</v>
      </c>
      <c r="X129" s="9">
        <v>200</v>
      </c>
      <c r="Y129" s="9">
        <v>63.633466</v>
      </c>
      <c r="Z129" s="9">
        <v>1.5</v>
      </c>
      <c r="AA129" s="9">
        <v>256</v>
      </c>
      <c r="AB129" s="9">
        <v>256</v>
      </c>
      <c r="AC129" s="9" t="s">
        <v>645</v>
      </c>
      <c r="AD129" s="9">
        <v>3</v>
      </c>
      <c r="AE129" s="9">
        <v>3.6</v>
      </c>
      <c r="AF129" s="9" t="s">
        <v>646</v>
      </c>
      <c r="AG129" s="9"/>
      <c r="AH129" s="9" t="s">
        <v>61</v>
      </c>
      <c r="AI129" s="9">
        <v>70</v>
      </c>
      <c r="AJ129" s="9">
        <v>100</v>
      </c>
      <c r="AK129" s="9" t="s">
        <v>647</v>
      </c>
      <c r="AL129" s="9">
        <v>23</v>
      </c>
      <c r="AM129" s="9"/>
      <c r="AN129" s="9" t="s">
        <v>210</v>
      </c>
      <c r="AO129" s="9" t="s">
        <v>211</v>
      </c>
      <c r="AP129" s="9" t="s">
        <v>212</v>
      </c>
      <c r="AQ129" s="9"/>
      <c r="AR129" s="9" t="s">
        <v>274</v>
      </c>
      <c r="AS129" s="9" t="s">
        <v>302</v>
      </c>
      <c r="AT129" s="9" t="s">
        <v>69</v>
      </c>
      <c r="AU129" s="9" t="s">
        <v>214</v>
      </c>
      <c r="AV129" s="9">
        <v>27</v>
      </c>
    </row>
    <row r="130" spans="1:48">
      <c r="A130" s="9">
        <f t="shared" si="1"/>
        <v>129</v>
      </c>
      <c r="B130" s="9" t="s">
        <v>640</v>
      </c>
      <c r="C130" s="9" t="s">
        <v>648</v>
      </c>
      <c r="D130" s="9">
        <v>1</v>
      </c>
      <c r="E130" s="9">
        <v>1</v>
      </c>
      <c r="F130" s="9" t="s">
        <v>91</v>
      </c>
      <c r="G130" s="9" t="s">
        <v>649</v>
      </c>
      <c r="H130" s="9"/>
      <c r="I130" s="9" t="s">
        <v>342</v>
      </c>
      <c r="J130" s="9" t="s">
        <v>53</v>
      </c>
      <c r="K130" s="9" t="s">
        <v>206</v>
      </c>
      <c r="L130" s="9" t="s">
        <v>113</v>
      </c>
      <c r="M130" s="9" t="s">
        <v>56</v>
      </c>
      <c r="N130" s="9" t="s">
        <v>644</v>
      </c>
      <c r="O130" s="9">
        <v>2</v>
      </c>
      <c r="P130" s="9" t="s">
        <v>58</v>
      </c>
      <c r="Q130" s="9">
        <v>3520</v>
      </c>
      <c r="R130" s="9">
        <v>30</v>
      </c>
      <c r="S130" s="9"/>
      <c r="T130" s="9">
        <v>150</v>
      </c>
      <c r="U130" s="9">
        <v>9</v>
      </c>
      <c r="V130" s="9">
        <v>1</v>
      </c>
      <c r="W130" s="9">
        <v>1</v>
      </c>
      <c r="X130" s="9">
        <v>250</v>
      </c>
      <c r="Y130" s="9">
        <v>63.633457</v>
      </c>
      <c r="Z130" s="9">
        <v>1.5</v>
      </c>
      <c r="AA130" s="9">
        <v>320</v>
      </c>
      <c r="AB130" s="9">
        <v>320</v>
      </c>
      <c r="AC130" s="9" t="s">
        <v>650</v>
      </c>
      <c r="AD130" s="9">
        <v>3</v>
      </c>
      <c r="AE130" s="9">
        <v>3.3</v>
      </c>
      <c r="AF130" s="9" t="s">
        <v>651</v>
      </c>
      <c r="AG130" s="9"/>
      <c r="AH130" s="9" t="s">
        <v>61</v>
      </c>
      <c r="AI130" s="9">
        <v>82</v>
      </c>
      <c r="AJ130" s="9">
        <v>100</v>
      </c>
      <c r="AK130" s="9" t="s">
        <v>652</v>
      </c>
      <c r="AL130" s="9">
        <v>6</v>
      </c>
      <c r="AM130" s="9"/>
      <c r="AN130" s="9" t="s">
        <v>210</v>
      </c>
      <c r="AO130" s="9" t="s">
        <v>211</v>
      </c>
      <c r="AP130" s="9" t="s">
        <v>212</v>
      </c>
      <c r="AQ130" s="9"/>
      <c r="AR130" s="9" t="s">
        <v>274</v>
      </c>
      <c r="AS130" s="9" t="s">
        <v>302</v>
      </c>
      <c r="AT130" s="9" t="s">
        <v>69</v>
      </c>
      <c r="AU130" s="9" t="s">
        <v>214</v>
      </c>
      <c r="AV130" s="9">
        <v>30</v>
      </c>
    </row>
    <row r="131" spans="1:48">
      <c r="A131" s="9">
        <f t="shared" ref="A131:A194" si="2">ROW()-1</f>
        <v>130</v>
      </c>
      <c r="B131" s="9" t="s">
        <v>640</v>
      </c>
      <c r="C131" s="9" t="s">
        <v>653</v>
      </c>
      <c r="D131" s="9">
        <v>0</v>
      </c>
      <c r="E131" s="9">
        <v>0</v>
      </c>
      <c r="F131" s="9" t="s">
        <v>50</v>
      </c>
      <c r="G131" s="9" t="s">
        <v>654</v>
      </c>
      <c r="H131" s="9"/>
      <c r="I131" s="9" t="s">
        <v>643</v>
      </c>
      <c r="J131" s="9" t="s">
        <v>53</v>
      </c>
      <c r="K131" s="9" t="s">
        <v>206</v>
      </c>
      <c r="L131" s="9"/>
      <c r="M131" s="9" t="s">
        <v>56</v>
      </c>
      <c r="N131" s="9" t="s">
        <v>644</v>
      </c>
      <c r="O131" s="9">
        <v>4</v>
      </c>
      <c r="P131" s="9" t="s">
        <v>58</v>
      </c>
      <c r="Q131" s="9">
        <v>691</v>
      </c>
      <c r="R131" s="9">
        <v>19</v>
      </c>
      <c r="S131" s="9"/>
      <c r="T131" s="9">
        <v>150</v>
      </c>
      <c r="U131" s="9">
        <v>4</v>
      </c>
      <c r="V131" s="9">
        <v>1</v>
      </c>
      <c r="W131" s="9">
        <v>1</v>
      </c>
      <c r="X131" s="9">
        <v>200</v>
      </c>
      <c r="Y131" s="9">
        <v>63.633452</v>
      </c>
      <c r="Z131" s="9">
        <v>1.5</v>
      </c>
      <c r="AA131" s="9">
        <v>256</v>
      </c>
      <c r="AB131" s="9">
        <v>256</v>
      </c>
      <c r="AC131" s="9" t="s">
        <v>645</v>
      </c>
      <c r="AD131" s="9">
        <v>3</v>
      </c>
      <c r="AE131" s="9">
        <v>3.3</v>
      </c>
      <c r="AF131" s="9" t="s">
        <v>646</v>
      </c>
      <c r="AG131" s="9"/>
      <c r="AH131" s="9" t="s">
        <v>61</v>
      </c>
      <c r="AI131" s="9">
        <v>70</v>
      </c>
      <c r="AJ131" s="9">
        <v>100</v>
      </c>
      <c r="AK131" s="9" t="s">
        <v>655</v>
      </c>
      <c r="AL131" s="9">
        <v>5</v>
      </c>
      <c r="AM131" s="9"/>
      <c r="AN131" s="9" t="s">
        <v>210</v>
      </c>
      <c r="AO131" s="9" t="s">
        <v>211</v>
      </c>
      <c r="AP131" s="9" t="s">
        <v>212</v>
      </c>
      <c r="AQ131" s="9"/>
      <c r="AR131" s="9" t="s">
        <v>274</v>
      </c>
      <c r="AS131" s="9" t="s">
        <v>302</v>
      </c>
      <c r="AT131" s="9" t="s">
        <v>69</v>
      </c>
      <c r="AU131" s="9" t="s">
        <v>214</v>
      </c>
      <c r="AV131" s="9">
        <v>30</v>
      </c>
    </row>
    <row r="132" spans="1:48">
      <c r="A132" s="9">
        <f t="shared" si="2"/>
        <v>131</v>
      </c>
      <c r="B132" s="9" t="s">
        <v>640</v>
      </c>
      <c r="C132" s="9" t="s">
        <v>656</v>
      </c>
      <c r="D132" s="9">
        <v>1</v>
      </c>
      <c r="E132" s="9">
        <v>1</v>
      </c>
      <c r="F132" s="9" t="s">
        <v>50</v>
      </c>
      <c r="G132" s="9" t="s">
        <v>288</v>
      </c>
      <c r="H132" s="9"/>
      <c r="I132" s="9" t="s">
        <v>657</v>
      </c>
      <c r="J132" s="9" t="s">
        <v>53</v>
      </c>
      <c r="K132" s="9" t="s">
        <v>206</v>
      </c>
      <c r="L132" s="9" t="s">
        <v>113</v>
      </c>
      <c r="M132" s="9" t="s">
        <v>56</v>
      </c>
      <c r="N132" s="9" t="s">
        <v>644</v>
      </c>
      <c r="O132" s="9">
        <v>3</v>
      </c>
      <c r="P132" s="9" t="s">
        <v>58</v>
      </c>
      <c r="Q132" s="9">
        <v>3950</v>
      </c>
      <c r="R132" s="9">
        <v>32</v>
      </c>
      <c r="S132" s="9"/>
      <c r="T132" s="9">
        <v>150</v>
      </c>
      <c r="U132" s="9">
        <v>10</v>
      </c>
      <c r="V132" s="9">
        <v>1</v>
      </c>
      <c r="W132" s="9">
        <v>1</v>
      </c>
      <c r="X132" s="9">
        <v>230</v>
      </c>
      <c r="Y132" s="9">
        <v>63.633453</v>
      </c>
      <c r="Z132" s="9">
        <v>1.5</v>
      </c>
      <c r="AA132" s="9">
        <v>320</v>
      </c>
      <c r="AB132" s="9">
        <v>320</v>
      </c>
      <c r="AC132" s="9" t="s">
        <v>650</v>
      </c>
      <c r="AD132" s="9">
        <v>3</v>
      </c>
      <c r="AE132" s="9">
        <v>3.3</v>
      </c>
      <c r="AF132" s="9" t="s">
        <v>651</v>
      </c>
      <c r="AG132" s="9"/>
      <c r="AH132" s="9" t="s">
        <v>61</v>
      </c>
      <c r="AI132" s="9">
        <v>82</v>
      </c>
      <c r="AJ132" s="9">
        <v>100</v>
      </c>
      <c r="AK132" s="9" t="s">
        <v>658</v>
      </c>
      <c r="AL132" s="9">
        <v>17</v>
      </c>
      <c r="AM132" s="9"/>
      <c r="AN132" s="9" t="s">
        <v>210</v>
      </c>
      <c r="AO132" s="9" t="s">
        <v>211</v>
      </c>
      <c r="AP132" s="9" t="s">
        <v>212</v>
      </c>
      <c r="AQ132" s="9"/>
      <c r="AR132" s="9" t="s">
        <v>274</v>
      </c>
      <c r="AS132" s="9" t="s">
        <v>302</v>
      </c>
      <c r="AT132" s="9" t="s">
        <v>69</v>
      </c>
      <c r="AU132" s="9" t="s">
        <v>214</v>
      </c>
      <c r="AV132" s="9">
        <v>30</v>
      </c>
    </row>
    <row r="133" spans="1:48">
      <c r="A133" s="9">
        <f t="shared" si="2"/>
        <v>132</v>
      </c>
      <c r="B133" s="9" t="s">
        <v>640</v>
      </c>
      <c r="C133" s="9" t="s">
        <v>659</v>
      </c>
      <c r="D133" s="9">
        <v>1</v>
      </c>
      <c r="E133" s="9">
        <v>1</v>
      </c>
      <c r="F133" s="9" t="s">
        <v>72</v>
      </c>
      <c r="G133" s="9" t="s">
        <v>292</v>
      </c>
      <c r="H133" s="9"/>
      <c r="I133" s="9" t="s">
        <v>657</v>
      </c>
      <c r="J133" s="9" t="s">
        <v>53</v>
      </c>
      <c r="K133" s="9" t="s">
        <v>206</v>
      </c>
      <c r="L133" s="9" t="s">
        <v>113</v>
      </c>
      <c r="M133" s="9" t="s">
        <v>56</v>
      </c>
      <c r="N133" s="9" t="s">
        <v>644</v>
      </c>
      <c r="O133" s="9">
        <v>5</v>
      </c>
      <c r="P133" s="9" t="s">
        <v>58</v>
      </c>
      <c r="Q133" s="9">
        <v>3550</v>
      </c>
      <c r="R133" s="9">
        <v>32</v>
      </c>
      <c r="S133" s="9"/>
      <c r="T133" s="9">
        <v>150</v>
      </c>
      <c r="U133" s="9">
        <v>10</v>
      </c>
      <c r="V133" s="9">
        <v>1</v>
      </c>
      <c r="W133" s="9">
        <v>1</v>
      </c>
      <c r="X133" s="9">
        <v>230</v>
      </c>
      <c r="Y133" s="9">
        <v>63.633466</v>
      </c>
      <c r="Z133" s="9">
        <v>1.5</v>
      </c>
      <c r="AA133" s="9">
        <v>320</v>
      </c>
      <c r="AB133" s="9">
        <v>320</v>
      </c>
      <c r="AC133" s="9" t="s">
        <v>650</v>
      </c>
      <c r="AD133" s="9">
        <v>3</v>
      </c>
      <c r="AE133" s="9">
        <v>3.6</v>
      </c>
      <c r="AF133" s="9" t="s">
        <v>651</v>
      </c>
      <c r="AG133" s="9"/>
      <c r="AH133" s="9" t="s">
        <v>61</v>
      </c>
      <c r="AI133" s="9">
        <v>82</v>
      </c>
      <c r="AJ133" s="9">
        <v>100</v>
      </c>
      <c r="AK133" s="9" t="s">
        <v>647</v>
      </c>
      <c r="AL133" s="9">
        <v>11</v>
      </c>
      <c r="AM133" s="9"/>
      <c r="AN133" s="9" t="s">
        <v>210</v>
      </c>
      <c r="AO133" s="9" t="s">
        <v>211</v>
      </c>
      <c r="AP133" s="9" t="s">
        <v>212</v>
      </c>
      <c r="AQ133" s="9"/>
      <c r="AR133" s="9" t="s">
        <v>274</v>
      </c>
      <c r="AS133" s="9" t="s">
        <v>302</v>
      </c>
      <c r="AT133" s="9" t="s">
        <v>69</v>
      </c>
      <c r="AU133" s="9" t="s">
        <v>214</v>
      </c>
      <c r="AV133" s="9">
        <v>27</v>
      </c>
    </row>
    <row r="134" spans="1:48">
      <c r="A134" s="9">
        <f t="shared" si="2"/>
        <v>133</v>
      </c>
      <c r="B134" s="9" t="s">
        <v>660</v>
      </c>
      <c r="C134" s="9" t="s">
        <v>661</v>
      </c>
      <c r="D134" s="9">
        <v>0</v>
      </c>
      <c r="E134" s="9">
        <v>0</v>
      </c>
      <c r="F134" s="9" t="s">
        <v>72</v>
      </c>
      <c r="G134" s="9" t="s">
        <v>318</v>
      </c>
      <c r="H134" s="9"/>
      <c r="I134" s="9" t="s">
        <v>266</v>
      </c>
      <c r="J134" s="9" t="s">
        <v>53</v>
      </c>
      <c r="K134" s="9" t="s">
        <v>267</v>
      </c>
      <c r="L134" s="9" t="s">
        <v>662</v>
      </c>
      <c r="M134" s="9" t="s">
        <v>56</v>
      </c>
      <c r="N134" s="9" t="s">
        <v>207</v>
      </c>
      <c r="O134" s="9">
        <v>6</v>
      </c>
      <c r="P134" s="9" t="s">
        <v>58</v>
      </c>
      <c r="Q134" s="9">
        <v>520</v>
      </c>
      <c r="R134" s="9">
        <v>16</v>
      </c>
      <c r="S134" s="9"/>
      <c r="T134" s="9">
        <v>57</v>
      </c>
      <c r="U134" s="9">
        <v>1</v>
      </c>
      <c r="V134" s="9">
        <v>1</v>
      </c>
      <c r="W134" s="9">
        <v>1</v>
      </c>
      <c r="X134" s="9">
        <v>250</v>
      </c>
      <c r="Y134" s="9">
        <v>123.165152</v>
      </c>
      <c r="Z134" s="9">
        <v>3</v>
      </c>
      <c r="AA134" s="9">
        <v>320</v>
      </c>
      <c r="AB134" s="9">
        <v>320</v>
      </c>
      <c r="AC134" s="9" t="s">
        <v>650</v>
      </c>
      <c r="AD134" s="9">
        <v>3</v>
      </c>
      <c r="AE134" s="9">
        <v>3.6</v>
      </c>
      <c r="AF134" s="9" t="s">
        <v>336</v>
      </c>
      <c r="AG134" s="9"/>
      <c r="AH134" s="9" t="s">
        <v>61</v>
      </c>
      <c r="AI134" s="9">
        <v>80</v>
      </c>
      <c r="AJ134" s="9">
        <v>100</v>
      </c>
      <c r="AK134" s="9" t="s">
        <v>663</v>
      </c>
      <c r="AL134" s="9">
        <v>37</v>
      </c>
      <c r="AM134" s="9"/>
      <c r="AN134" s="9" t="s">
        <v>210</v>
      </c>
      <c r="AO134" s="9" t="s">
        <v>664</v>
      </c>
      <c r="AP134" s="9" t="s">
        <v>212</v>
      </c>
      <c r="AQ134" s="9"/>
      <c r="AR134" s="9" t="s">
        <v>213</v>
      </c>
      <c r="AS134" s="9" t="s">
        <v>68</v>
      </c>
      <c r="AT134" s="9" t="s">
        <v>69</v>
      </c>
      <c r="AU134" s="9" t="s">
        <v>214</v>
      </c>
      <c r="AV134" s="9">
        <v>40</v>
      </c>
    </row>
    <row r="135" spans="1:48">
      <c r="A135" s="9">
        <f t="shared" si="2"/>
        <v>134</v>
      </c>
      <c r="B135" s="9" t="s">
        <v>660</v>
      </c>
      <c r="C135" s="9" t="s">
        <v>665</v>
      </c>
      <c r="D135" s="9">
        <v>1</v>
      </c>
      <c r="E135" s="9">
        <v>1</v>
      </c>
      <c r="F135" s="9" t="s">
        <v>50</v>
      </c>
      <c r="G135" s="9" t="s">
        <v>328</v>
      </c>
      <c r="H135" s="9"/>
      <c r="I135" s="9" t="s">
        <v>666</v>
      </c>
      <c r="J135" s="9" t="s">
        <v>53</v>
      </c>
      <c r="K135" s="9" t="s">
        <v>206</v>
      </c>
      <c r="L135" s="9" t="s">
        <v>667</v>
      </c>
      <c r="M135" s="9" t="s">
        <v>56</v>
      </c>
      <c r="N135" s="9" t="s">
        <v>207</v>
      </c>
      <c r="O135" s="9">
        <v>5</v>
      </c>
      <c r="P135" s="9" t="s">
        <v>58</v>
      </c>
      <c r="Q135" s="9">
        <v>3530</v>
      </c>
      <c r="R135" s="9">
        <v>67</v>
      </c>
      <c r="S135" s="9"/>
      <c r="T135" s="9">
        <v>128</v>
      </c>
      <c r="U135" s="9">
        <v>14</v>
      </c>
      <c r="V135" s="9">
        <v>1</v>
      </c>
      <c r="W135" s="9">
        <v>1</v>
      </c>
      <c r="X135" s="9">
        <v>250</v>
      </c>
      <c r="Y135" s="9">
        <v>123.165118</v>
      </c>
      <c r="Z135" s="9">
        <v>3</v>
      </c>
      <c r="AA135" s="9">
        <v>320</v>
      </c>
      <c r="AB135" s="9">
        <v>320</v>
      </c>
      <c r="AC135" s="9" t="s">
        <v>650</v>
      </c>
      <c r="AD135" s="10">
        <v>3.2999999523163</v>
      </c>
      <c r="AE135" s="9">
        <v>3.96</v>
      </c>
      <c r="AF135" s="9" t="s">
        <v>668</v>
      </c>
      <c r="AG135" s="9"/>
      <c r="AH135" s="9" t="s">
        <v>61</v>
      </c>
      <c r="AI135" s="9">
        <v>85</v>
      </c>
      <c r="AJ135" s="9">
        <v>100</v>
      </c>
      <c r="AK135" s="9" t="s">
        <v>669</v>
      </c>
      <c r="AL135" s="9">
        <v>21</v>
      </c>
      <c r="AM135" s="9"/>
      <c r="AN135" s="9" t="s">
        <v>210</v>
      </c>
      <c r="AO135" s="9" t="s">
        <v>664</v>
      </c>
      <c r="AP135" s="9" t="s">
        <v>212</v>
      </c>
      <c r="AQ135" s="9"/>
      <c r="AR135" s="9" t="s">
        <v>213</v>
      </c>
      <c r="AS135" s="9" t="s">
        <v>68</v>
      </c>
      <c r="AT135" s="9" t="s">
        <v>69</v>
      </c>
      <c r="AU135" s="9" t="s">
        <v>214</v>
      </c>
      <c r="AV135" s="9">
        <v>34</v>
      </c>
    </row>
    <row r="136" spans="1:48">
      <c r="A136" s="9">
        <f t="shared" si="2"/>
        <v>135</v>
      </c>
      <c r="B136" s="9" t="s">
        <v>660</v>
      </c>
      <c r="C136" s="9" t="s">
        <v>670</v>
      </c>
      <c r="D136" s="9">
        <v>1</v>
      </c>
      <c r="E136" s="9">
        <v>1</v>
      </c>
      <c r="F136" s="9" t="s">
        <v>72</v>
      </c>
      <c r="G136" s="9" t="s">
        <v>338</v>
      </c>
      <c r="H136" s="9"/>
      <c r="I136" s="9" t="s">
        <v>666</v>
      </c>
      <c r="J136" s="9" t="s">
        <v>53</v>
      </c>
      <c r="K136" s="9" t="s">
        <v>206</v>
      </c>
      <c r="L136" s="9" t="s">
        <v>667</v>
      </c>
      <c r="M136" s="9" t="s">
        <v>56</v>
      </c>
      <c r="N136" s="9" t="s">
        <v>207</v>
      </c>
      <c r="O136" s="9">
        <v>7</v>
      </c>
      <c r="P136" s="9" t="s">
        <v>58</v>
      </c>
      <c r="Q136" s="9">
        <v>3800</v>
      </c>
      <c r="R136" s="9">
        <v>68</v>
      </c>
      <c r="S136" s="9"/>
      <c r="T136" s="9">
        <v>140</v>
      </c>
      <c r="U136" s="9">
        <v>14</v>
      </c>
      <c r="V136" s="9">
        <v>1</v>
      </c>
      <c r="W136" s="9">
        <v>1</v>
      </c>
      <c r="X136" s="9">
        <v>245</v>
      </c>
      <c r="Y136" s="9">
        <v>123.165125</v>
      </c>
      <c r="Z136" s="9">
        <v>3</v>
      </c>
      <c r="AA136" s="9">
        <v>320</v>
      </c>
      <c r="AB136" s="9">
        <v>320</v>
      </c>
      <c r="AC136" s="9" t="s">
        <v>650</v>
      </c>
      <c r="AD136" s="9">
        <v>3</v>
      </c>
      <c r="AE136" s="9">
        <v>3.6</v>
      </c>
      <c r="AF136" s="9" t="s">
        <v>336</v>
      </c>
      <c r="AG136" s="9"/>
      <c r="AH136" s="9" t="s">
        <v>61</v>
      </c>
      <c r="AI136" s="9">
        <v>80</v>
      </c>
      <c r="AJ136" s="9">
        <v>100</v>
      </c>
      <c r="AK136" s="9" t="s">
        <v>663</v>
      </c>
      <c r="AL136" s="9">
        <v>31</v>
      </c>
      <c r="AM136" s="9"/>
      <c r="AN136" s="9" t="s">
        <v>210</v>
      </c>
      <c r="AO136" s="9" t="s">
        <v>664</v>
      </c>
      <c r="AP136" s="9" t="s">
        <v>212</v>
      </c>
      <c r="AQ136" s="9"/>
      <c r="AR136" s="9" t="s">
        <v>213</v>
      </c>
      <c r="AS136" s="9" t="s">
        <v>68</v>
      </c>
      <c r="AT136" s="9" t="s">
        <v>69</v>
      </c>
      <c r="AU136" s="9" t="s">
        <v>214</v>
      </c>
      <c r="AV136" s="9">
        <v>40</v>
      </c>
    </row>
    <row r="137" spans="1:48">
      <c r="A137" s="9">
        <f t="shared" si="2"/>
        <v>136</v>
      </c>
      <c r="B137" s="9" t="s">
        <v>660</v>
      </c>
      <c r="C137" s="9" t="s">
        <v>671</v>
      </c>
      <c r="D137" s="9">
        <v>0</v>
      </c>
      <c r="E137" s="9">
        <v>0</v>
      </c>
      <c r="F137" s="9" t="s">
        <v>50</v>
      </c>
      <c r="G137" s="9" t="s">
        <v>672</v>
      </c>
      <c r="H137" s="9"/>
      <c r="I137" s="9" t="s">
        <v>673</v>
      </c>
      <c r="J137" s="9" t="s">
        <v>53</v>
      </c>
      <c r="K137" s="9" t="s">
        <v>206</v>
      </c>
      <c r="L137" s="9" t="s">
        <v>674</v>
      </c>
      <c r="M137" s="9" t="s">
        <v>56</v>
      </c>
      <c r="N137" s="9" t="s">
        <v>207</v>
      </c>
      <c r="O137" s="9">
        <v>4</v>
      </c>
      <c r="P137" s="9" t="s">
        <v>58</v>
      </c>
      <c r="Q137" s="9">
        <v>2300</v>
      </c>
      <c r="R137" s="9">
        <v>25</v>
      </c>
      <c r="S137" s="9"/>
      <c r="T137" s="9">
        <v>152</v>
      </c>
      <c r="U137" s="9">
        <v>8</v>
      </c>
      <c r="V137" s="9">
        <v>1</v>
      </c>
      <c r="W137" s="9">
        <v>1</v>
      </c>
      <c r="X137" s="9">
        <v>245</v>
      </c>
      <c r="Y137" s="9">
        <v>123.165114</v>
      </c>
      <c r="Z137" s="9">
        <v>3</v>
      </c>
      <c r="AA137" s="9">
        <v>320</v>
      </c>
      <c r="AB137" s="9">
        <v>320</v>
      </c>
      <c r="AC137" s="9" t="s">
        <v>650</v>
      </c>
      <c r="AD137" s="10">
        <v>3.2999999523163</v>
      </c>
      <c r="AE137" s="9">
        <v>3.96</v>
      </c>
      <c r="AF137" s="9" t="s">
        <v>668</v>
      </c>
      <c r="AG137" s="9"/>
      <c r="AH137" s="9" t="s">
        <v>61</v>
      </c>
      <c r="AI137" s="9">
        <v>85</v>
      </c>
      <c r="AJ137" s="9">
        <v>100</v>
      </c>
      <c r="AK137" s="9" t="s">
        <v>669</v>
      </c>
      <c r="AL137" s="9">
        <v>1</v>
      </c>
      <c r="AM137" s="9"/>
      <c r="AN137" s="9" t="s">
        <v>210</v>
      </c>
      <c r="AO137" s="9" t="s">
        <v>664</v>
      </c>
      <c r="AP137" s="9" t="s">
        <v>212</v>
      </c>
      <c r="AQ137" s="9"/>
      <c r="AR137" s="9" t="s">
        <v>213</v>
      </c>
      <c r="AS137" s="9" t="s">
        <v>68</v>
      </c>
      <c r="AT137" s="9" t="s">
        <v>69</v>
      </c>
      <c r="AU137" s="9" t="s">
        <v>214</v>
      </c>
      <c r="AV137" s="9">
        <v>34</v>
      </c>
    </row>
    <row r="138" spans="1:48">
      <c r="A138" s="9">
        <f t="shared" si="2"/>
        <v>137</v>
      </c>
      <c r="B138" s="9" t="s">
        <v>660</v>
      </c>
      <c r="C138" s="9" t="s">
        <v>675</v>
      </c>
      <c r="D138" s="9">
        <v>1</v>
      </c>
      <c r="E138" s="9">
        <v>1</v>
      </c>
      <c r="F138" s="9" t="s">
        <v>91</v>
      </c>
      <c r="G138" s="9" t="s">
        <v>193</v>
      </c>
      <c r="H138" s="9"/>
      <c r="I138" s="9" t="s">
        <v>666</v>
      </c>
      <c r="J138" s="9" t="s">
        <v>53</v>
      </c>
      <c r="K138" s="9" t="s">
        <v>206</v>
      </c>
      <c r="L138" s="9" t="s">
        <v>676</v>
      </c>
      <c r="M138" s="9" t="s">
        <v>56</v>
      </c>
      <c r="N138" s="9" t="s">
        <v>207</v>
      </c>
      <c r="O138" s="9">
        <v>3</v>
      </c>
      <c r="P138" s="9" t="s">
        <v>58</v>
      </c>
      <c r="Q138" s="9">
        <v>3500</v>
      </c>
      <c r="R138" s="9">
        <v>64</v>
      </c>
      <c r="S138" s="9"/>
      <c r="T138" s="9">
        <v>128</v>
      </c>
      <c r="U138" s="9">
        <v>14</v>
      </c>
      <c r="V138" s="9">
        <v>1</v>
      </c>
      <c r="W138" s="9">
        <v>1</v>
      </c>
      <c r="X138" s="9">
        <v>250</v>
      </c>
      <c r="Y138" s="9">
        <v>123.165109</v>
      </c>
      <c r="Z138" s="9">
        <v>3</v>
      </c>
      <c r="AA138" s="9">
        <v>256</v>
      </c>
      <c r="AB138" s="9">
        <v>256</v>
      </c>
      <c r="AC138" s="9" t="s">
        <v>645</v>
      </c>
      <c r="AD138" s="9">
        <v>3.5</v>
      </c>
      <c r="AE138" s="9">
        <v>4.2</v>
      </c>
      <c r="AF138" s="9" t="s">
        <v>677</v>
      </c>
      <c r="AG138" s="9"/>
      <c r="AH138" s="9" t="s">
        <v>77</v>
      </c>
      <c r="AI138" s="9">
        <v>80</v>
      </c>
      <c r="AJ138" s="9">
        <v>100</v>
      </c>
      <c r="AK138" s="9" t="s">
        <v>678</v>
      </c>
      <c r="AL138" s="9">
        <v>26</v>
      </c>
      <c r="AM138" s="9"/>
      <c r="AN138" s="9" t="s">
        <v>210</v>
      </c>
      <c r="AO138" s="9" t="s">
        <v>664</v>
      </c>
      <c r="AP138" s="9" t="s">
        <v>212</v>
      </c>
      <c r="AQ138" s="9"/>
      <c r="AR138" s="9" t="s">
        <v>213</v>
      </c>
      <c r="AS138" s="9" t="s">
        <v>68</v>
      </c>
      <c r="AT138" s="9" t="s">
        <v>69</v>
      </c>
      <c r="AU138" s="9" t="s">
        <v>214</v>
      </c>
      <c r="AV138" s="9">
        <v>40</v>
      </c>
    </row>
    <row r="139" spans="1:48">
      <c r="A139" s="9">
        <f t="shared" si="2"/>
        <v>138</v>
      </c>
      <c r="B139" s="9" t="s">
        <v>679</v>
      </c>
      <c r="C139" s="9" t="s">
        <v>680</v>
      </c>
      <c r="D139" s="9">
        <v>0</v>
      </c>
      <c r="E139" s="9">
        <v>0</v>
      </c>
      <c r="F139" s="9" t="s">
        <v>72</v>
      </c>
      <c r="G139" s="9" t="s">
        <v>265</v>
      </c>
      <c r="H139" s="9"/>
      <c r="I139" s="9" t="s">
        <v>266</v>
      </c>
      <c r="J139" s="9" t="s">
        <v>53</v>
      </c>
      <c r="K139" s="9" t="s">
        <v>267</v>
      </c>
      <c r="L139" s="9"/>
      <c r="M139" s="9" t="s">
        <v>56</v>
      </c>
      <c r="N139" s="9" t="s">
        <v>462</v>
      </c>
      <c r="O139" s="9">
        <v>5</v>
      </c>
      <c r="P139" s="9" t="s">
        <v>58</v>
      </c>
      <c r="Q139" s="9">
        <v>456</v>
      </c>
      <c r="R139" s="9">
        <v>14</v>
      </c>
      <c r="S139" s="9"/>
      <c r="T139" s="9">
        <v>90</v>
      </c>
      <c r="U139" s="9">
        <v>1</v>
      </c>
      <c r="V139" s="9">
        <v>0</v>
      </c>
      <c r="W139" s="9">
        <v>1</v>
      </c>
      <c r="X139" s="9">
        <v>90</v>
      </c>
      <c r="Y139" s="9">
        <v>63.638565</v>
      </c>
      <c r="Z139" s="9">
        <v>1.5</v>
      </c>
      <c r="AA139" s="9">
        <v>640</v>
      </c>
      <c r="AB139" s="9">
        <v>640</v>
      </c>
      <c r="AC139" s="9" t="s">
        <v>681</v>
      </c>
      <c r="AD139" s="9">
        <v>4</v>
      </c>
      <c r="AE139" s="9">
        <v>4.6</v>
      </c>
      <c r="AF139" s="9" t="s">
        <v>234</v>
      </c>
      <c r="AG139" s="9"/>
      <c r="AH139" s="9" t="s">
        <v>77</v>
      </c>
      <c r="AI139" s="9">
        <v>80</v>
      </c>
      <c r="AJ139" s="9">
        <v>100</v>
      </c>
      <c r="AK139" s="9" t="s">
        <v>682</v>
      </c>
      <c r="AL139" s="9">
        <v>16</v>
      </c>
      <c r="AM139" s="9"/>
      <c r="AN139" s="9" t="s">
        <v>210</v>
      </c>
      <c r="AO139" s="9" t="s">
        <v>464</v>
      </c>
      <c r="AP139" s="9" t="s">
        <v>465</v>
      </c>
      <c r="AQ139" s="9"/>
      <c r="AR139" s="9" t="s">
        <v>466</v>
      </c>
      <c r="AS139" s="9"/>
      <c r="AT139" s="9" t="s">
        <v>69</v>
      </c>
      <c r="AU139" s="9"/>
      <c r="AV139" s="9">
        <v>18</v>
      </c>
    </row>
    <row r="140" spans="1:48">
      <c r="A140" s="9">
        <f t="shared" si="2"/>
        <v>139</v>
      </c>
      <c r="B140" s="9" t="s">
        <v>679</v>
      </c>
      <c r="C140" s="9" t="s">
        <v>683</v>
      </c>
      <c r="D140" s="9">
        <v>1</v>
      </c>
      <c r="E140" s="9">
        <v>1</v>
      </c>
      <c r="F140" s="9" t="s">
        <v>72</v>
      </c>
      <c r="G140" s="9" t="s">
        <v>473</v>
      </c>
      <c r="H140" s="9"/>
      <c r="I140" s="9" t="s">
        <v>342</v>
      </c>
      <c r="J140" s="9" t="s">
        <v>53</v>
      </c>
      <c r="K140" s="9" t="s">
        <v>206</v>
      </c>
      <c r="L140" s="9" t="s">
        <v>113</v>
      </c>
      <c r="M140" s="9" t="s">
        <v>56</v>
      </c>
      <c r="N140" s="9" t="s">
        <v>462</v>
      </c>
      <c r="O140" s="9">
        <v>4</v>
      </c>
      <c r="P140" s="9" t="s">
        <v>58</v>
      </c>
      <c r="Q140" s="9">
        <v>3500</v>
      </c>
      <c r="R140" s="9">
        <v>14</v>
      </c>
      <c r="S140" s="9"/>
      <c r="T140" s="9">
        <v>150</v>
      </c>
      <c r="U140" s="9">
        <v>9</v>
      </c>
      <c r="V140" s="9">
        <v>0</v>
      </c>
      <c r="W140" s="9">
        <v>1</v>
      </c>
      <c r="X140" s="9">
        <v>130</v>
      </c>
      <c r="Y140" s="9">
        <v>63.638535</v>
      </c>
      <c r="Z140" s="9">
        <v>1.5</v>
      </c>
      <c r="AA140" s="9">
        <v>384</v>
      </c>
      <c r="AB140" s="9">
        <v>384</v>
      </c>
      <c r="AC140" s="9" t="s">
        <v>75</v>
      </c>
      <c r="AD140" s="9">
        <v>4</v>
      </c>
      <c r="AE140" s="9">
        <v>4.8</v>
      </c>
      <c r="AF140" s="9" t="s">
        <v>470</v>
      </c>
      <c r="AG140" s="9"/>
      <c r="AH140" s="9" t="s">
        <v>77</v>
      </c>
      <c r="AI140" s="9">
        <v>100</v>
      </c>
      <c r="AJ140" s="9">
        <v>100</v>
      </c>
      <c r="AK140" s="9" t="s">
        <v>684</v>
      </c>
      <c r="AL140" s="9">
        <v>4</v>
      </c>
      <c r="AM140" s="9"/>
      <c r="AN140" s="9" t="s">
        <v>210</v>
      </c>
      <c r="AO140" s="9" t="s">
        <v>464</v>
      </c>
      <c r="AP140" s="9" t="s">
        <v>465</v>
      </c>
      <c r="AQ140" s="9"/>
      <c r="AR140" s="9" t="s">
        <v>466</v>
      </c>
      <c r="AS140" s="9"/>
      <c r="AT140" s="9" t="s">
        <v>69</v>
      </c>
      <c r="AU140" s="9"/>
      <c r="AV140" s="9">
        <v>19</v>
      </c>
    </row>
    <row r="141" spans="1:48">
      <c r="A141" s="9">
        <f t="shared" si="2"/>
        <v>140</v>
      </c>
      <c r="B141" s="9" t="s">
        <v>679</v>
      </c>
      <c r="C141" s="9" t="s">
        <v>685</v>
      </c>
      <c r="D141" s="9">
        <v>1</v>
      </c>
      <c r="E141" s="9">
        <v>1</v>
      </c>
      <c r="F141" s="9" t="s">
        <v>91</v>
      </c>
      <c r="G141" s="9" t="s">
        <v>468</v>
      </c>
      <c r="H141" s="9"/>
      <c r="I141" s="9" t="s">
        <v>342</v>
      </c>
      <c r="J141" s="9" t="s">
        <v>53</v>
      </c>
      <c r="K141" s="9" t="s">
        <v>206</v>
      </c>
      <c r="L141" s="9" t="s">
        <v>113</v>
      </c>
      <c r="M141" s="9" t="s">
        <v>56</v>
      </c>
      <c r="N141" s="9" t="s">
        <v>462</v>
      </c>
      <c r="O141" s="9">
        <v>3</v>
      </c>
      <c r="P141" s="9" t="s">
        <v>58</v>
      </c>
      <c r="Q141" s="9">
        <v>3500</v>
      </c>
      <c r="R141" s="9">
        <v>14</v>
      </c>
      <c r="S141" s="9"/>
      <c r="T141" s="9">
        <v>150</v>
      </c>
      <c r="U141" s="9">
        <v>9</v>
      </c>
      <c r="V141" s="9">
        <v>0</v>
      </c>
      <c r="W141" s="9">
        <v>1</v>
      </c>
      <c r="X141" s="9">
        <v>130</v>
      </c>
      <c r="Y141" s="9">
        <v>63.638542</v>
      </c>
      <c r="Z141" s="9">
        <v>1.5</v>
      </c>
      <c r="AA141" s="9">
        <v>384</v>
      </c>
      <c r="AB141" s="9">
        <v>384</v>
      </c>
      <c r="AC141" s="9" t="s">
        <v>75</v>
      </c>
      <c r="AD141" s="9">
        <v>4</v>
      </c>
      <c r="AE141" s="9">
        <v>5</v>
      </c>
      <c r="AF141" s="9" t="s">
        <v>470</v>
      </c>
      <c r="AG141" s="9"/>
      <c r="AH141" s="9" t="s">
        <v>77</v>
      </c>
      <c r="AI141" s="9">
        <v>100</v>
      </c>
      <c r="AJ141" s="9">
        <v>100</v>
      </c>
      <c r="AK141" s="9" t="s">
        <v>686</v>
      </c>
      <c r="AL141" s="9">
        <v>15</v>
      </c>
      <c r="AM141" s="9"/>
      <c r="AN141" s="9" t="s">
        <v>210</v>
      </c>
      <c r="AO141" s="9" t="s">
        <v>464</v>
      </c>
      <c r="AP141" s="9" t="s">
        <v>465</v>
      </c>
      <c r="AQ141" s="9"/>
      <c r="AR141" s="9" t="s">
        <v>466</v>
      </c>
      <c r="AS141" s="9"/>
      <c r="AT141" s="9" t="s">
        <v>69</v>
      </c>
      <c r="AU141" s="9"/>
      <c r="AV141" s="9">
        <v>19</v>
      </c>
    </row>
    <row r="142" spans="1:48">
      <c r="A142" s="9">
        <f t="shared" si="2"/>
        <v>141</v>
      </c>
      <c r="B142" s="9" t="s">
        <v>679</v>
      </c>
      <c r="C142" s="9" t="s">
        <v>687</v>
      </c>
      <c r="D142" s="9">
        <v>1</v>
      </c>
      <c r="E142" s="9">
        <v>1</v>
      </c>
      <c r="F142" s="9" t="s">
        <v>50</v>
      </c>
      <c r="G142" s="9" t="s">
        <v>477</v>
      </c>
      <c r="H142" s="9"/>
      <c r="I142" s="9" t="s">
        <v>478</v>
      </c>
      <c r="J142" s="9" t="s">
        <v>53</v>
      </c>
      <c r="K142" s="9" t="s">
        <v>206</v>
      </c>
      <c r="L142" s="9" t="s">
        <v>113</v>
      </c>
      <c r="M142" s="9" t="s">
        <v>56</v>
      </c>
      <c r="N142" s="9" t="s">
        <v>462</v>
      </c>
      <c r="O142" s="9">
        <v>6</v>
      </c>
      <c r="P142" s="9" t="s">
        <v>58</v>
      </c>
      <c r="Q142" s="9">
        <v>2000</v>
      </c>
      <c r="R142" s="9">
        <v>41</v>
      </c>
      <c r="S142" s="9"/>
      <c r="T142" s="9">
        <v>150</v>
      </c>
      <c r="U142" s="9">
        <v>5</v>
      </c>
      <c r="V142" s="9">
        <v>0</v>
      </c>
      <c r="W142" s="9">
        <v>1</v>
      </c>
      <c r="X142" s="9">
        <v>130</v>
      </c>
      <c r="Y142" s="9">
        <v>63.638544</v>
      </c>
      <c r="Z142" s="9">
        <v>1.5</v>
      </c>
      <c r="AA142" s="9">
        <v>384</v>
      </c>
      <c r="AB142" s="9">
        <v>384</v>
      </c>
      <c r="AC142" s="9" t="s">
        <v>688</v>
      </c>
      <c r="AD142" s="9">
        <v>4</v>
      </c>
      <c r="AE142" s="9">
        <v>5</v>
      </c>
      <c r="AF142" s="9" t="s">
        <v>470</v>
      </c>
      <c r="AG142" s="9"/>
      <c r="AH142" s="9" t="s">
        <v>77</v>
      </c>
      <c r="AI142" s="9">
        <v>100</v>
      </c>
      <c r="AJ142" s="9">
        <v>100</v>
      </c>
      <c r="AK142" s="9" t="s">
        <v>689</v>
      </c>
      <c r="AL142" s="9">
        <v>10</v>
      </c>
      <c r="AM142" s="9"/>
      <c r="AN142" s="9" t="s">
        <v>210</v>
      </c>
      <c r="AO142" s="9" t="s">
        <v>464</v>
      </c>
      <c r="AP142" s="9" t="s">
        <v>465</v>
      </c>
      <c r="AQ142" s="9"/>
      <c r="AR142" s="9" t="s">
        <v>466</v>
      </c>
      <c r="AS142" s="9"/>
      <c r="AT142" s="9" t="s">
        <v>69</v>
      </c>
      <c r="AU142" s="9"/>
      <c r="AV142" s="9">
        <v>19</v>
      </c>
    </row>
    <row r="143" spans="1:48">
      <c r="A143" s="9">
        <f t="shared" si="2"/>
        <v>142</v>
      </c>
      <c r="B143" s="9" t="s">
        <v>690</v>
      </c>
      <c r="C143" s="9" t="s">
        <v>691</v>
      </c>
      <c r="D143" s="9">
        <v>1</v>
      </c>
      <c r="E143" s="9">
        <v>1</v>
      </c>
      <c r="F143" s="9" t="s">
        <v>91</v>
      </c>
      <c r="G143" s="9" t="s">
        <v>604</v>
      </c>
      <c r="H143" s="9"/>
      <c r="I143" s="9"/>
      <c r="J143" s="9" t="s">
        <v>53</v>
      </c>
      <c r="K143" s="9" t="s">
        <v>97</v>
      </c>
      <c r="L143" s="9" t="s">
        <v>113</v>
      </c>
      <c r="M143" s="9" t="s">
        <v>56</v>
      </c>
      <c r="N143" s="9" t="s">
        <v>99</v>
      </c>
      <c r="O143" s="9">
        <v>201</v>
      </c>
      <c r="P143" s="9" t="s">
        <v>58</v>
      </c>
      <c r="Q143" s="10">
        <v>2472.38842773437</v>
      </c>
      <c r="R143" s="9">
        <v>35</v>
      </c>
      <c r="S143" s="9"/>
      <c r="T143" s="9">
        <v>90</v>
      </c>
      <c r="U143" s="9">
        <v>14</v>
      </c>
      <c r="V143" s="9">
        <v>1</v>
      </c>
      <c r="W143" s="9">
        <v>1</v>
      </c>
      <c r="X143" s="9">
        <v>217</v>
      </c>
      <c r="Y143" s="9">
        <v>127.753568</v>
      </c>
      <c r="Z143" s="9">
        <v>3</v>
      </c>
      <c r="AA143" s="9">
        <v>448</v>
      </c>
      <c r="AB143" s="9">
        <v>448</v>
      </c>
      <c r="AC143" s="9" t="s">
        <v>692</v>
      </c>
      <c r="AD143" s="9">
        <v>4</v>
      </c>
      <c r="AE143" s="9">
        <v>4.4</v>
      </c>
      <c r="AF143" s="9" t="s">
        <v>693</v>
      </c>
      <c r="AG143" s="9"/>
      <c r="AH143" s="9" t="s">
        <v>61</v>
      </c>
      <c r="AI143" s="10">
        <v>119.776123046875</v>
      </c>
      <c r="AJ143" s="9">
        <v>100</v>
      </c>
      <c r="AK143" s="9" t="s">
        <v>694</v>
      </c>
      <c r="AL143" s="9">
        <v>13</v>
      </c>
      <c r="AM143" s="9"/>
      <c r="AN143" s="9" t="s">
        <v>400</v>
      </c>
      <c r="AO143" s="9" t="s">
        <v>369</v>
      </c>
      <c r="AP143" s="9" t="s">
        <v>370</v>
      </c>
      <c r="AQ143" s="9" t="s">
        <v>486</v>
      </c>
      <c r="AR143" s="9"/>
      <c r="AS143" s="9" t="s">
        <v>68</v>
      </c>
      <c r="AT143" s="9" t="s">
        <v>69</v>
      </c>
      <c r="AU143" s="9"/>
      <c r="AV143" s="9">
        <v>30</v>
      </c>
    </row>
    <row r="144" spans="1:48">
      <c r="A144" s="9">
        <f t="shared" si="2"/>
        <v>143</v>
      </c>
      <c r="B144" s="9" t="s">
        <v>690</v>
      </c>
      <c r="C144" s="9" t="s">
        <v>695</v>
      </c>
      <c r="D144" s="9">
        <v>1</v>
      </c>
      <c r="E144" s="9">
        <v>1</v>
      </c>
      <c r="F144" s="9" t="s">
        <v>72</v>
      </c>
      <c r="G144" s="9" t="s">
        <v>604</v>
      </c>
      <c r="H144" s="9"/>
      <c r="I144" s="9"/>
      <c r="J144" s="9" t="s">
        <v>53</v>
      </c>
      <c r="K144" s="9" t="s">
        <v>97</v>
      </c>
      <c r="L144" s="9" t="s">
        <v>113</v>
      </c>
      <c r="M144" s="9" t="s">
        <v>56</v>
      </c>
      <c r="N144" s="9" t="s">
        <v>99</v>
      </c>
      <c r="O144" s="9">
        <v>301</v>
      </c>
      <c r="P144" s="9" t="s">
        <v>58</v>
      </c>
      <c r="Q144" s="10">
        <v>2307.5654296875</v>
      </c>
      <c r="R144" s="9">
        <v>35</v>
      </c>
      <c r="S144" s="9"/>
      <c r="T144" s="9">
        <v>90</v>
      </c>
      <c r="U144" s="9">
        <v>14</v>
      </c>
      <c r="V144" s="9">
        <v>1</v>
      </c>
      <c r="W144" s="9">
        <v>2</v>
      </c>
      <c r="X144" s="9">
        <v>217</v>
      </c>
      <c r="Y144" s="9">
        <v>127.75356</v>
      </c>
      <c r="Z144" s="9">
        <v>3</v>
      </c>
      <c r="AA144" s="9">
        <v>512</v>
      </c>
      <c r="AB144" s="9">
        <v>512</v>
      </c>
      <c r="AC144" s="9" t="s">
        <v>311</v>
      </c>
      <c r="AD144" s="9">
        <v>3.2</v>
      </c>
      <c r="AE144" s="9">
        <v>3.7</v>
      </c>
      <c r="AF144" s="9" t="s">
        <v>696</v>
      </c>
      <c r="AG144" s="9"/>
      <c r="AH144" s="9" t="s">
        <v>77</v>
      </c>
      <c r="AI144" s="10">
        <v>119.776123046875</v>
      </c>
      <c r="AJ144" s="9">
        <v>100</v>
      </c>
      <c r="AK144" s="9" t="s">
        <v>697</v>
      </c>
      <c r="AL144" s="9">
        <v>3</v>
      </c>
      <c r="AM144" s="9"/>
      <c r="AN144" s="9" t="s">
        <v>400</v>
      </c>
      <c r="AO144" s="9" t="s">
        <v>369</v>
      </c>
      <c r="AP144" s="9" t="s">
        <v>370</v>
      </c>
      <c r="AQ144" s="9" t="s">
        <v>486</v>
      </c>
      <c r="AR144" s="9"/>
      <c r="AS144" s="9" t="s">
        <v>68</v>
      </c>
      <c r="AT144" s="9" t="s">
        <v>69</v>
      </c>
      <c r="AU144" s="9"/>
      <c r="AV144" s="9">
        <v>28</v>
      </c>
    </row>
    <row r="145" spans="1:48">
      <c r="A145" s="9">
        <f t="shared" si="2"/>
        <v>144</v>
      </c>
      <c r="B145" s="9" t="s">
        <v>690</v>
      </c>
      <c r="C145" s="9" t="s">
        <v>698</v>
      </c>
      <c r="D145" s="9">
        <v>0</v>
      </c>
      <c r="E145" s="9">
        <v>0</v>
      </c>
      <c r="F145" s="9" t="s">
        <v>50</v>
      </c>
      <c r="G145" s="9" t="s">
        <v>604</v>
      </c>
      <c r="H145" s="9"/>
      <c r="I145" s="9"/>
      <c r="J145" s="9" t="s">
        <v>53</v>
      </c>
      <c r="K145" s="9" t="s">
        <v>97</v>
      </c>
      <c r="L145" s="9" t="s">
        <v>98</v>
      </c>
      <c r="M145" s="9" t="s">
        <v>56</v>
      </c>
      <c r="N145" s="9" t="s">
        <v>99</v>
      </c>
      <c r="O145" s="9">
        <v>501</v>
      </c>
      <c r="P145" s="9" t="s">
        <v>58</v>
      </c>
      <c r="Q145" s="10">
        <v>664.615783691406</v>
      </c>
      <c r="R145" s="9">
        <v>15</v>
      </c>
      <c r="S145" s="9"/>
      <c r="T145" s="9">
        <v>90</v>
      </c>
      <c r="U145" s="9">
        <v>9</v>
      </c>
      <c r="V145" s="9">
        <v>1</v>
      </c>
      <c r="W145" s="9">
        <v>3</v>
      </c>
      <c r="X145" s="9">
        <v>193</v>
      </c>
      <c r="Y145" s="9">
        <v>127.753584</v>
      </c>
      <c r="Z145" s="9">
        <v>3</v>
      </c>
      <c r="AA145" s="9">
        <v>512</v>
      </c>
      <c r="AB145" s="9">
        <v>512</v>
      </c>
      <c r="AC145" s="9" t="s">
        <v>699</v>
      </c>
      <c r="AD145" s="9">
        <v>3</v>
      </c>
      <c r="AE145" s="9">
        <v>3.3</v>
      </c>
      <c r="AF145" s="9" t="s">
        <v>700</v>
      </c>
      <c r="AG145" s="9"/>
      <c r="AH145" s="9" t="s">
        <v>77</v>
      </c>
      <c r="AI145" s="9">
        <v>99.6875</v>
      </c>
      <c r="AJ145" s="9">
        <v>100</v>
      </c>
      <c r="AK145" s="9" t="s">
        <v>701</v>
      </c>
      <c r="AL145" s="9">
        <v>22</v>
      </c>
      <c r="AM145" s="9"/>
      <c r="AN145" s="9" t="s">
        <v>400</v>
      </c>
      <c r="AO145" s="9" t="s">
        <v>369</v>
      </c>
      <c r="AP145" s="9" t="s">
        <v>370</v>
      </c>
      <c r="AQ145" s="9" t="s">
        <v>486</v>
      </c>
      <c r="AR145" s="9"/>
      <c r="AS145" s="9" t="s">
        <v>68</v>
      </c>
      <c r="AT145" s="9" t="s">
        <v>69</v>
      </c>
      <c r="AU145" s="9"/>
      <c r="AV145" s="9">
        <v>28</v>
      </c>
    </row>
    <row r="146" spans="1:48">
      <c r="A146" s="9">
        <f t="shared" si="2"/>
        <v>145</v>
      </c>
      <c r="B146" s="9" t="s">
        <v>690</v>
      </c>
      <c r="C146" s="9" t="s">
        <v>702</v>
      </c>
      <c r="D146" s="9">
        <v>1</v>
      </c>
      <c r="E146" s="9">
        <v>1</v>
      </c>
      <c r="F146" s="9" t="s">
        <v>50</v>
      </c>
      <c r="G146" s="9" t="s">
        <v>604</v>
      </c>
      <c r="H146" s="9"/>
      <c r="I146" s="9"/>
      <c r="J146" s="9" t="s">
        <v>53</v>
      </c>
      <c r="K146" s="9" t="s">
        <v>97</v>
      </c>
      <c r="L146" s="9" t="s">
        <v>113</v>
      </c>
      <c r="M146" s="9" t="s">
        <v>56</v>
      </c>
      <c r="N146" s="9" t="s">
        <v>99</v>
      </c>
      <c r="O146" s="9">
        <v>401</v>
      </c>
      <c r="P146" s="9" t="s">
        <v>58</v>
      </c>
      <c r="Q146" s="10">
        <v>2445.3212890625</v>
      </c>
      <c r="R146" s="9">
        <v>35</v>
      </c>
      <c r="S146" s="9"/>
      <c r="T146" s="9">
        <v>90</v>
      </c>
      <c r="U146" s="9">
        <v>15</v>
      </c>
      <c r="V146" s="9">
        <v>1</v>
      </c>
      <c r="W146" s="9">
        <v>2</v>
      </c>
      <c r="X146" s="9">
        <v>230</v>
      </c>
      <c r="Y146" s="9">
        <v>127.753568</v>
      </c>
      <c r="Z146" s="9">
        <v>3</v>
      </c>
      <c r="AA146" s="9">
        <v>512</v>
      </c>
      <c r="AB146" s="9">
        <v>512</v>
      </c>
      <c r="AC146" s="9" t="s">
        <v>699</v>
      </c>
      <c r="AD146" s="9">
        <v>3</v>
      </c>
      <c r="AE146" s="9">
        <v>3.3</v>
      </c>
      <c r="AF146" s="9" t="s">
        <v>703</v>
      </c>
      <c r="AG146" s="9"/>
      <c r="AH146" s="9" t="s">
        <v>77</v>
      </c>
      <c r="AI146" s="10">
        <v>119.0298538208</v>
      </c>
      <c r="AJ146" s="9">
        <v>100</v>
      </c>
      <c r="AK146" s="9" t="s">
        <v>701</v>
      </c>
      <c r="AL146" s="9">
        <v>4</v>
      </c>
      <c r="AM146" s="9"/>
      <c r="AN146" s="9" t="s">
        <v>400</v>
      </c>
      <c r="AO146" s="9" t="s">
        <v>369</v>
      </c>
      <c r="AP146" s="9" t="s">
        <v>370</v>
      </c>
      <c r="AQ146" s="9" t="s">
        <v>486</v>
      </c>
      <c r="AR146" s="9"/>
      <c r="AS146" s="9" t="s">
        <v>68</v>
      </c>
      <c r="AT146" s="9" t="s">
        <v>69</v>
      </c>
      <c r="AU146" s="9"/>
      <c r="AV146" s="9">
        <v>28</v>
      </c>
    </row>
    <row r="147" spans="1:48">
      <c r="A147" s="9">
        <f t="shared" si="2"/>
        <v>146</v>
      </c>
      <c r="B147" s="9" t="s">
        <v>704</v>
      </c>
      <c r="C147" s="9" t="s">
        <v>705</v>
      </c>
      <c r="D147" s="9">
        <v>0</v>
      </c>
      <c r="E147" s="9">
        <v>0</v>
      </c>
      <c r="F147" s="9" t="s">
        <v>91</v>
      </c>
      <c r="G147" s="9"/>
      <c r="H147" s="9"/>
      <c r="I147" s="9"/>
      <c r="J147" s="9" t="s">
        <v>53</v>
      </c>
      <c r="K147" s="9" t="s">
        <v>97</v>
      </c>
      <c r="L147" s="9" t="s">
        <v>706</v>
      </c>
      <c r="M147" s="9" t="s">
        <v>56</v>
      </c>
      <c r="N147" s="9" t="s">
        <v>145</v>
      </c>
      <c r="O147" s="9">
        <v>7</v>
      </c>
      <c r="P147" s="9" t="s">
        <v>58</v>
      </c>
      <c r="Q147" s="9">
        <v>540</v>
      </c>
      <c r="R147" s="9">
        <v>11.28</v>
      </c>
      <c r="S147" s="9">
        <v>0</v>
      </c>
      <c r="T147" s="9">
        <v>90</v>
      </c>
      <c r="U147" s="9">
        <v>3</v>
      </c>
      <c r="V147" s="9">
        <v>1</v>
      </c>
      <c r="W147" s="9">
        <v>1</v>
      </c>
      <c r="X147" s="9">
        <v>97.6562</v>
      </c>
      <c r="Y147" s="9">
        <v>63.842269</v>
      </c>
      <c r="Z147" s="9">
        <v>1.5</v>
      </c>
      <c r="AA147" s="9">
        <v>512</v>
      </c>
      <c r="AB147" s="9">
        <v>512</v>
      </c>
      <c r="AC147" s="9" t="s">
        <v>308</v>
      </c>
      <c r="AD147" s="9">
        <v>3.5</v>
      </c>
      <c r="AE147" s="9">
        <v>4.5</v>
      </c>
      <c r="AF147" s="9" t="s">
        <v>707</v>
      </c>
      <c r="AG147" s="9"/>
      <c r="AH147" s="9" t="s">
        <v>77</v>
      </c>
      <c r="AI147" s="9">
        <v>100</v>
      </c>
      <c r="AJ147" s="9">
        <v>100</v>
      </c>
      <c r="AK147" s="9" t="s">
        <v>708</v>
      </c>
      <c r="AL147" s="9">
        <v>2</v>
      </c>
      <c r="AM147" s="9"/>
      <c r="AN147" s="9" t="s">
        <v>149</v>
      </c>
      <c r="AO147" s="9" t="s">
        <v>709</v>
      </c>
      <c r="AP147" s="9" t="s">
        <v>710</v>
      </c>
      <c r="AQ147" s="9" t="s">
        <v>711</v>
      </c>
      <c r="AR147" s="9"/>
      <c r="AS147" s="9"/>
      <c r="AT147" s="9" t="s">
        <v>69</v>
      </c>
      <c r="AU147" s="9"/>
      <c r="AV147" s="9">
        <v>27</v>
      </c>
    </row>
    <row r="148" spans="1:48">
      <c r="A148" s="9">
        <f t="shared" si="2"/>
        <v>147</v>
      </c>
      <c r="B148" s="9" t="s">
        <v>704</v>
      </c>
      <c r="C148" s="9" t="s">
        <v>712</v>
      </c>
      <c r="D148" s="9">
        <v>0</v>
      </c>
      <c r="E148" s="9">
        <v>0</v>
      </c>
      <c r="F148" s="9" t="s">
        <v>50</v>
      </c>
      <c r="G148" s="9"/>
      <c r="H148" s="9"/>
      <c r="I148" s="9"/>
      <c r="J148" s="9" t="s">
        <v>53</v>
      </c>
      <c r="K148" s="9" t="s">
        <v>143</v>
      </c>
      <c r="L148" s="9" t="s">
        <v>713</v>
      </c>
      <c r="M148" s="9" t="s">
        <v>56</v>
      </c>
      <c r="N148" s="9" t="s">
        <v>145</v>
      </c>
      <c r="O148" s="9">
        <v>5</v>
      </c>
      <c r="P148" s="9" t="s">
        <v>58</v>
      </c>
      <c r="Q148" s="9">
        <v>4420</v>
      </c>
      <c r="R148" s="9">
        <v>85.752</v>
      </c>
      <c r="S148" s="9">
        <v>0</v>
      </c>
      <c r="T148" s="9">
        <v>90</v>
      </c>
      <c r="U148" s="9">
        <v>16</v>
      </c>
      <c r="V148" s="9">
        <v>1</v>
      </c>
      <c r="W148" s="9">
        <v>1</v>
      </c>
      <c r="X148" s="9">
        <v>122.07</v>
      </c>
      <c r="Y148" s="9">
        <v>63.842269</v>
      </c>
      <c r="Z148" s="9">
        <v>1.5</v>
      </c>
      <c r="AA148" s="9">
        <v>512</v>
      </c>
      <c r="AB148" s="9">
        <v>512</v>
      </c>
      <c r="AC148" s="9" t="s">
        <v>186</v>
      </c>
      <c r="AD148" s="9">
        <v>3</v>
      </c>
      <c r="AE148" s="9">
        <v>4</v>
      </c>
      <c r="AF148" s="9" t="s">
        <v>181</v>
      </c>
      <c r="AG148" s="9"/>
      <c r="AH148" s="9" t="s">
        <v>61</v>
      </c>
      <c r="AI148" s="9">
        <v>100</v>
      </c>
      <c r="AJ148" s="9">
        <v>100</v>
      </c>
      <c r="AK148" s="9" t="s">
        <v>714</v>
      </c>
      <c r="AL148" s="9">
        <v>24</v>
      </c>
      <c r="AM148" s="9"/>
      <c r="AN148" s="9" t="s">
        <v>149</v>
      </c>
      <c r="AO148" s="9" t="s">
        <v>709</v>
      </c>
      <c r="AP148" s="9" t="s">
        <v>710</v>
      </c>
      <c r="AQ148" s="9" t="s">
        <v>711</v>
      </c>
      <c r="AR148" s="9"/>
      <c r="AS148" s="9"/>
      <c r="AT148" s="9" t="s">
        <v>69</v>
      </c>
      <c r="AU148" s="9"/>
      <c r="AV148" s="9">
        <v>26</v>
      </c>
    </row>
    <row r="149" spans="1:48">
      <c r="A149" s="9">
        <f t="shared" si="2"/>
        <v>148</v>
      </c>
      <c r="B149" s="9" t="s">
        <v>704</v>
      </c>
      <c r="C149" s="9" t="s">
        <v>715</v>
      </c>
      <c r="D149" s="9">
        <v>0</v>
      </c>
      <c r="E149" s="9">
        <v>0</v>
      </c>
      <c r="F149" s="9" t="s">
        <v>72</v>
      </c>
      <c r="G149" s="9"/>
      <c r="H149" s="9"/>
      <c r="I149" s="9"/>
      <c r="J149" s="9" t="s">
        <v>53</v>
      </c>
      <c r="K149" s="9" t="s">
        <v>97</v>
      </c>
      <c r="L149" s="9" t="s">
        <v>706</v>
      </c>
      <c r="M149" s="9" t="s">
        <v>56</v>
      </c>
      <c r="N149" s="9" t="s">
        <v>145</v>
      </c>
      <c r="O149" s="9">
        <v>6</v>
      </c>
      <c r="P149" s="9" t="s">
        <v>58</v>
      </c>
      <c r="Q149" s="9">
        <v>540</v>
      </c>
      <c r="R149" s="9">
        <v>11.36</v>
      </c>
      <c r="S149" s="9">
        <v>0</v>
      </c>
      <c r="T149" s="9">
        <v>90</v>
      </c>
      <c r="U149" s="9">
        <v>3</v>
      </c>
      <c r="V149" s="9">
        <v>1</v>
      </c>
      <c r="W149" s="9">
        <v>1</v>
      </c>
      <c r="X149" s="9">
        <v>97.6562</v>
      </c>
      <c r="Y149" s="9">
        <v>63.842269</v>
      </c>
      <c r="Z149" s="9">
        <v>1.5</v>
      </c>
      <c r="AA149" s="9">
        <v>512</v>
      </c>
      <c r="AB149" s="9">
        <v>512</v>
      </c>
      <c r="AC149" s="9" t="s">
        <v>716</v>
      </c>
      <c r="AD149" s="9">
        <v>3</v>
      </c>
      <c r="AE149" s="9">
        <v>4</v>
      </c>
      <c r="AF149" s="9" t="s">
        <v>707</v>
      </c>
      <c r="AG149" s="9"/>
      <c r="AH149" s="9" t="s">
        <v>77</v>
      </c>
      <c r="AI149" s="9">
        <v>100</v>
      </c>
      <c r="AJ149" s="9">
        <v>100</v>
      </c>
      <c r="AK149" s="9" t="s">
        <v>717</v>
      </c>
      <c r="AL149" s="9">
        <v>1</v>
      </c>
      <c r="AM149" s="9"/>
      <c r="AN149" s="9" t="s">
        <v>149</v>
      </c>
      <c r="AO149" s="9" t="s">
        <v>709</v>
      </c>
      <c r="AP149" s="9" t="s">
        <v>710</v>
      </c>
      <c r="AQ149" s="9" t="s">
        <v>711</v>
      </c>
      <c r="AR149" s="9"/>
      <c r="AS149" s="9"/>
      <c r="AT149" s="9" t="s">
        <v>69</v>
      </c>
      <c r="AU149" s="9"/>
      <c r="AV149" s="9">
        <v>28</v>
      </c>
    </row>
    <row r="150" spans="1:48">
      <c r="A150" s="9">
        <f t="shared" si="2"/>
        <v>149</v>
      </c>
      <c r="B150" s="9" t="s">
        <v>704</v>
      </c>
      <c r="C150" s="9" t="s">
        <v>718</v>
      </c>
      <c r="D150" s="9">
        <v>1</v>
      </c>
      <c r="E150" s="9">
        <v>1</v>
      </c>
      <c r="F150" s="9" t="s">
        <v>72</v>
      </c>
      <c r="G150" s="9"/>
      <c r="H150" s="9"/>
      <c r="I150" s="9"/>
      <c r="J150" s="9" t="s">
        <v>53</v>
      </c>
      <c r="K150" s="9" t="s">
        <v>97</v>
      </c>
      <c r="L150" s="9" t="s">
        <v>719</v>
      </c>
      <c r="M150" s="9" t="s">
        <v>56</v>
      </c>
      <c r="N150" s="9" t="s">
        <v>145</v>
      </c>
      <c r="O150" s="9">
        <v>3</v>
      </c>
      <c r="P150" s="9" t="s">
        <v>58</v>
      </c>
      <c r="Q150" s="9">
        <v>2760</v>
      </c>
      <c r="R150" s="9">
        <v>34.384</v>
      </c>
      <c r="S150" s="9">
        <v>0</v>
      </c>
      <c r="T150" s="9">
        <v>90</v>
      </c>
      <c r="U150" s="9">
        <v>6</v>
      </c>
      <c r="V150" s="9">
        <v>1</v>
      </c>
      <c r="W150" s="9">
        <v>2</v>
      </c>
      <c r="X150" s="9">
        <v>122.07</v>
      </c>
      <c r="Y150" s="9">
        <v>63.842238</v>
      </c>
      <c r="Z150" s="9">
        <v>1.5</v>
      </c>
      <c r="AA150" s="9">
        <v>512</v>
      </c>
      <c r="AB150" s="9">
        <v>512</v>
      </c>
      <c r="AC150" s="9" t="s">
        <v>716</v>
      </c>
      <c r="AD150" s="9">
        <v>3</v>
      </c>
      <c r="AE150" s="9">
        <v>4</v>
      </c>
      <c r="AF150" s="9" t="s">
        <v>707</v>
      </c>
      <c r="AG150" s="9"/>
      <c r="AH150" s="9" t="s">
        <v>77</v>
      </c>
      <c r="AI150" s="9">
        <v>100</v>
      </c>
      <c r="AJ150" s="9">
        <v>100</v>
      </c>
      <c r="AK150" s="9" t="s">
        <v>717</v>
      </c>
      <c r="AL150" s="9">
        <v>14</v>
      </c>
      <c r="AM150" s="9"/>
      <c r="AN150" s="9" t="s">
        <v>149</v>
      </c>
      <c r="AO150" s="9" t="s">
        <v>709</v>
      </c>
      <c r="AP150" s="9" t="s">
        <v>710</v>
      </c>
      <c r="AQ150" s="9" t="s">
        <v>711</v>
      </c>
      <c r="AR150" s="9"/>
      <c r="AS150" s="9"/>
      <c r="AT150" s="9" t="s">
        <v>69</v>
      </c>
      <c r="AU150" s="9"/>
      <c r="AV150" s="9">
        <v>28</v>
      </c>
    </row>
    <row r="151" spans="1:48">
      <c r="A151" s="9">
        <f t="shared" si="2"/>
        <v>150</v>
      </c>
      <c r="B151" s="9" t="s">
        <v>704</v>
      </c>
      <c r="C151" s="9" t="s">
        <v>720</v>
      </c>
      <c r="D151" s="9">
        <v>1</v>
      </c>
      <c r="E151" s="9">
        <v>1</v>
      </c>
      <c r="F151" s="9" t="s">
        <v>50</v>
      </c>
      <c r="G151" s="9"/>
      <c r="H151" s="9"/>
      <c r="I151" s="9"/>
      <c r="J151" s="9" t="s">
        <v>53</v>
      </c>
      <c r="K151" s="9" t="s">
        <v>143</v>
      </c>
      <c r="L151" s="9" t="s">
        <v>721</v>
      </c>
      <c r="M151" s="9" t="s">
        <v>56</v>
      </c>
      <c r="N151" s="9" t="s">
        <v>145</v>
      </c>
      <c r="O151" s="9">
        <v>2</v>
      </c>
      <c r="P151" s="9" t="s">
        <v>58</v>
      </c>
      <c r="Q151" s="9">
        <v>2560</v>
      </c>
      <c r="R151" s="9">
        <v>33.572</v>
      </c>
      <c r="S151" s="9">
        <v>0</v>
      </c>
      <c r="T151" s="9">
        <v>90</v>
      </c>
      <c r="U151" s="9">
        <v>6</v>
      </c>
      <c r="V151" s="9">
        <v>1</v>
      </c>
      <c r="W151" s="9">
        <v>1</v>
      </c>
      <c r="X151" s="9">
        <v>122.07</v>
      </c>
      <c r="Y151" s="9">
        <v>63.842245</v>
      </c>
      <c r="Z151" s="9">
        <v>1.5</v>
      </c>
      <c r="AA151" s="9">
        <v>512</v>
      </c>
      <c r="AB151" s="9">
        <v>512</v>
      </c>
      <c r="AC151" s="9" t="s">
        <v>186</v>
      </c>
      <c r="AD151" s="9">
        <v>3</v>
      </c>
      <c r="AE151" s="9">
        <v>4</v>
      </c>
      <c r="AF151" s="9" t="s">
        <v>707</v>
      </c>
      <c r="AG151" s="9"/>
      <c r="AH151" s="9" t="s">
        <v>77</v>
      </c>
      <c r="AI151" s="9">
        <v>100</v>
      </c>
      <c r="AJ151" s="9">
        <v>100</v>
      </c>
      <c r="AK151" s="9" t="s">
        <v>722</v>
      </c>
      <c r="AL151" s="9">
        <v>1</v>
      </c>
      <c r="AM151" s="9"/>
      <c r="AN151" s="9" t="s">
        <v>149</v>
      </c>
      <c r="AO151" s="9" t="s">
        <v>709</v>
      </c>
      <c r="AP151" s="9" t="s">
        <v>710</v>
      </c>
      <c r="AQ151" s="9" t="s">
        <v>711</v>
      </c>
      <c r="AR151" s="9"/>
      <c r="AS151" s="9"/>
      <c r="AT151" s="9" t="s">
        <v>69</v>
      </c>
      <c r="AU151" s="9"/>
      <c r="AV151" s="9">
        <v>26</v>
      </c>
    </row>
    <row r="152" spans="1:48">
      <c r="A152" s="9">
        <f t="shared" si="2"/>
        <v>151</v>
      </c>
      <c r="B152" s="9" t="s">
        <v>704</v>
      </c>
      <c r="C152" s="9" t="s">
        <v>723</v>
      </c>
      <c r="D152" s="9">
        <v>0</v>
      </c>
      <c r="E152" s="9">
        <v>0</v>
      </c>
      <c r="F152" s="9" t="s">
        <v>91</v>
      </c>
      <c r="G152" s="9"/>
      <c r="H152" s="9"/>
      <c r="I152" s="9"/>
      <c r="J152" s="9" t="s">
        <v>53</v>
      </c>
      <c r="K152" s="9" t="s">
        <v>97</v>
      </c>
      <c r="L152" s="9" t="s">
        <v>706</v>
      </c>
      <c r="M152" s="9" t="s">
        <v>56</v>
      </c>
      <c r="N152" s="9" t="s">
        <v>145</v>
      </c>
      <c r="O152" s="9">
        <v>8</v>
      </c>
      <c r="P152" s="9" t="s">
        <v>58</v>
      </c>
      <c r="Q152" s="9">
        <v>4520</v>
      </c>
      <c r="R152" s="9">
        <v>87.696</v>
      </c>
      <c r="S152" s="9">
        <v>0</v>
      </c>
      <c r="T152" s="9">
        <v>90</v>
      </c>
      <c r="U152" s="9">
        <v>16</v>
      </c>
      <c r="V152" s="9">
        <v>1</v>
      </c>
      <c r="W152" s="9">
        <v>2</v>
      </c>
      <c r="X152" s="9">
        <v>122.07</v>
      </c>
      <c r="Y152" s="9">
        <v>63.842269</v>
      </c>
      <c r="Z152" s="9">
        <v>1.5</v>
      </c>
      <c r="AA152" s="9">
        <v>512</v>
      </c>
      <c r="AB152" s="9">
        <v>512</v>
      </c>
      <c r="AC152" s="9" t="s">
        <v>308</v>
      </c>
      <c r="AD152" s="9">
        <v>3.5</v>
      </c>
      <c r="AE152" s="9">
        <v>4.5</v>
      </c>
      <c r="AF152" s="9" t="s">
        <v>707</v>
      </c>
      <c r="AG152" s="9"/>
      <c r="AH152" s="9" t="s">
        <v>77</v>
      </c>
      <c r="AI152" s="9">
        <v>100</v>
      </c>
      <c r="AJ152" s="9">
        <v>100</v>
      </c>
      <c r="AK152" s="9" t="s">
        <v>708</v>
      </c>
      <c r="AL152" s="9">
        <v>2</v>
      </c>
      <c r="AM152" s="9"/>
      <c r="AN152" s="9" t="s">
        <v>149</v>
      </c>
      <c r="AO152" s="9" t="s">
        <v>709</v>
      </c>
      <c r="AP152" s="9" t="s">
        <v>710</v>
      </c>
      <c r="AQ152" s="9" t="s">
        <v>711</v>
      </c>
      <c r="AR152" s="9"/>
      <c r="AS152" s="9"/>
      <c r="AT152" s="9" t="s">
        <v>69</v>
      </c>
      <c r="AU152" s="9"/>
      <c r="AV152" s="9">
        <v>27</v>
      </c>
    </row>
    <row r="153" spans="1:48">
      <c r="A153" s="9">
        <f t="shared" si="2"/>
        <v>152</v>
      </c>
      <c r="B153" s="9" t="s">
        <v>704</v>
      </c>
      <c r="C153" s="9" t="s">
        <v>724</v>
      </c>
      <c r="D153" s="9">
        <v>1</v>
      </c>
      <c r="E153" s="9">
        <v>1</v>
      </c>
      <c r="F153" s="9" t="s">
        <v>91</v>
      </c>
      <c r="G153" s="9"/>
      <c r="H153" s="9"/>
      <c r="I153" s="9"/>
      <c r="J153" s="9" t="s">
        <v>53</v>
      </c>
      <c r="K153" s="9" t="s">
        <v>97</v>
      </c>
      <c r="L153" s="9" t="s">
        <v>719</v>
      </c>
      <c r="M153" s="9" t="s">
        <v>56</v>
      </c>
      <c r="N153" s="9" t="s">
        <v>145</v>
      </c>
      <c r="O153" s="9">
        <v>4</v>
      </c>
      <c r="P153" s="9" t="s">
        <v>58</v>
      </c>
      <c r="Q153" s="9">
        <v>2600</v>
      </c>
      <c r="R153" s="9">
        <v>34.104</v>
      </c>
      <c r="S153" s="9">
        <v>0</v>
      </c>
      <c r="T153" s="9">
        <v>90</v>
      </c>
      <c r="U153" s="9">
        <v>6</v>
      </c>
      <c r="V153" s="9">
        <v>1</v>
      </c>
      <c r="W153" s="9">
        <v>2</v>
      </c>
      <c r="X153" s="9">
        <v>122.07</v>
      </c>
      <c r="Y153" s="9">
        <v>63.842269</v>
      </c>
      <c r="Z153" s="9">
        <v>1.5</v>
      </c>
      <c r="AA153" s="9">
        <v>512</v>
      </c>
      <c r="AB153" s="9">
        <v>512</v>
      </c>
      <c r="AC153" s="9" t="s">
        <v>308</v>
      </c>
      <c r="AD153" s="9">
        <v>3.5</v>
      </c>
      <c r="AE153" s="9">
        <v>4.5</v>
      </c>
      <c r="AF153" s="9" t="s">
        <v>707</v>
      </c>
      <c r="AG153" s="9"/>
      <c r="AH153" s="9" t="s">
        <v>77</v>
      </c>
      <c r="AI153" s="9">
        <v>100</v>
      </c>
      <c r="AJ153" s="9">
        <v>100</v>
      </c>
      <c r="AK153" s="9" t="s">
        <v>708</v>
      </c>
      <c r="AL153" s="9">
        <v>11</v>
      </c>
      <c r="AM153" s="9"/>
      <c r="AN153" s="9" t="s">
        <v>149</v>
      </c>
      <c r="AO153" s="9" t="s">
        <v>709</v>
      </c>
      <c r="AP153" s="9" t="s">
        <v>710</v>
      </c>
      <c r="AQ153" s="9" t="s">
        <v>711</v>
      </c>
      <c r="AR153" s="9"/>
      <c r="AS153" s="9"/>
      <c r="AT153" s="9" t="s">
        <v>69</v>
      </c>
      <c r="AU153" s="9"/>
      <c r="AV153" s="9">
        <v>27</v>
      </c>
    </row>
    <row r="154" spans="1:48">
      <c r="A154" s="9">
        <f t="shared" si="2"/>
        <v>153</v>
      </c>
      <c r="B154" s="9" t="s">
        <v>725</v>
      </c>
      <c r="C154" s="9" t="s">
        <v>726</v>
      </c>
      <c r="D154" s="9">
        <v>0</v>
      </c>
      <c r="E154" s="9">
        <v>0</v>
      </c>
      <c r="F154" s="9" t="s">
        <v>72</v>
      </c>
      <c r="G154" s="9" t="s">
        <v>642</v>
      </c>
      <c r="H154" s="9"/>
      <c r="I154" s="9" t="s">
        <v>643</v>
      </c>
      <c r="J154" s="9" t="s">
        <v>53</v>
      </c>
      <c r="K154" s="9" t="s">
        <v>206</v>
      </c>
      <c r="L154" s="9"/>
      <c r="M154" s="9" t="s">
        <v>56</v>
      </c>
      <c r="N154" s="9" t="s">
        <v>644</v>
      </c>
      <c r="O154" s="9">
        <v>6</v>
      </c>
      <c r="P154" s="9" t="s">
        <v>58</v>
      </c>
      <c r="Q154" s="9">
        <v>645</v>
      </c>
      <c r="R154" s="9">
        <v>19</v>
      </c>
      <c r="S154" s="9"/>
      <c r="T154" s="9">
        <v>150</v>
      </c>
      <c r="U154" s="9">
        <v>4</v>
      </c>
      <c r="V154" s="9">
        <v>1</v>
      </c>
      <c r="W154" s="9">
        <v>1</v>
      </c>
      <c r="X154" s="9">
        <v>200</v>
      </c>
      <c r="Y154" s="9">
        <v>63.633434</v>
      </c>
      <c r="Z154" s="9">
        <v>1.5</v>
      </c>
      <c r="AA154" s="9">
        <v>256</v>
      </c>
      <c r="AB154" s="9">
        <v>256</v>
      </c>
      <c r="AC154" s="9" t="s">
        <v>645</v>
      </c>
      <c r="AD154" s="9">
        <v>3</v>
      </c>
      <c r="AE154" s="9">
        <v>3.6</v>
      </c>
      <c r="AF154" s="9" t="s">
        <v>646</v>
      </c>
      <c r="AG154" s="9"/>
      <c r="AH154" s="9" t="s">
        <v>61</v>
      </c>
      <c r="AI154" s="9">
        <v>70</v>
      </c>
      <c r="AJ154" s="9">
        <v>100</v>
      </c>
      <c r="AK154" s="9" t="s">
        <v>727</v>
      </c>
      <c r="AL154" s="9">
        <v>17</v>
      </c>
      <c r="AM154" s="9"/>
      <c r="AN154" s="9" t="s">
        <v>210</v>
      </c>
      <c r="AO154" s="9" t="s">
        <v>211</v>
      </c>
      <c r="AP154" s="9" t="s">
        <v>212</v>
      </c>
      <c r="AQ154" s="9"/>
      <c r="AR154" s="9" t="s">
        <v>274</v>
      </c>
      <c r="AS154" s="9" t="s">
        <v>302</v>
      </c>
      <c r="AT154" s="9" t="s">
        <v>69</v>
      </c>
      <c r="AU154" s="9" t="s">
        <v>70</v>
      </c>
      <c r="AV154" s="9">
        <v>27</v>
      </c>
    </row>
    <row r="155" spans="1:48">
      <c r="A155" s="9">
        <f t="shared" si="2"/>
        <v>154</v>
      </c>
      <c r="B155" s="9" t="s">
        <v>725</v>
      </c>
      <c r="C155" s="9" t="s">
        <v>728</v>
      </c>
      <c r="D155" s="9">
        <v>1</v>
      </c>
      <c r="E155" s="9">
        <v>1</v>
      </c>
      <c r="F155" s="9" t="s">
        <v>72</v>
      </c>
      <c r="G155" s="9" t="s">
        <v>292</v>
      </c>
      <c r="H155" s="9"/>
      <c r="I155" s="9" t="s">
        <v>657</v>
      </c>
      <c r="J155" s="9" t="s">
        <v>53</v>
      </c>
      <c r="K155" s="9" t="s">
        <v>206</v>
      </c>
      <c r="L155" s="9" t="s">
        <v>113</v>
      </c>
      <c r="M155" s="9" t="s">
        <v>56</v>
      </c>
      <c r="N155" s="9" t="s">
        <v>644</v>
      </c>
      <c r="O155" s="9">
        <v>5</v>
      </c>
      <c r="P155" s="9" t="s">
        <v>58</v>
      </c>
      <c r="Q155" s="9">
        <v>3550</v>
      </c>
      <c r="R155" s="9">
        <v>32</v>
      </c>
      <c r="S155" s="9"/>
      <c r="T155" s="9">
        <v>150</v>
      </c>
      <c r="U155" s="9">
        <v>10</v>
      </c>
      <c r="V155" s="9">
        <v>1</v>
      </c>
      <c r="W155" s="9">
        <v>1</v>
      </c>
      <c r="X155" s="9">
        <v>230</v>
      </c>
      <c r="Y155" s="9">
        <v>63.633434</v>
      </c>
      <c r="Z155" s="9">
        <v>1.5</v>
      </c>
      <c r="AA155" s="9">
        <v>320</v>
      </c>
      <c r="AB155" s="9">
        <v>320</v>
      </c>
      <c r="AC155" s="9" t="s">
        <v>650</v>
      </c>
      <c r="AD155" s="9">
        <v>3</v>
      </c>
      <c r="AE155" s="9">
        <v>3.6</v>
      </c>
      <c r="AF155" s="9" t="s">
        <v>651</v>
      </c>
      <c r="AG155" s="9"/>
      <c r="AH155" s="9" t="s">
        <v>61</v>
      </c>
      <c r="AI155" s="9">
        <v>82</v>
      </c>
      <c r="AJ155" s="9">
        <v>100</v>
      </c>
      <c r="AK155" s="9" t="s">
        <v>727</v>
      </c>
      <c r="AL155" s="9">
        <v>12</v>
      </c>
      <c r="AM155" s="9"/>
      <c r="AN155" s="9" t="s">
        <v>210</v>
      </c>
      <c r="AO155" s="9" t="s">
        <v>211</v>
      </c>
      <c r="AP155" s="9" t="s">
        <v>212</v>
      </c>
      <c r="AQ155" s="9"/>
      <c r="AR155" s="9" t="s">
        <v>274</v>
      </c>
      <c r="AS155" s="9" t="s">
        <v>302</v>
      </c>
      <c r="AT155" s="9" t="s">
        <v>69</v>
      </c>
      <c r="AU155" s="9" t="s">
        <v>70</v>
      </c>
      <c r="AV155" s="9">
        <v>27</v>
      </c>
    </row>
    <row r="156" spans="1:48">
      <c r="A156" s="9">
        <f t="shared" si="2"/>
        <v>155</v>
      </c>
      <c r="B156" s="9" t="s">
        <v>725</v>
      </c>
      <c r="C156" s="9" t="s">
        <v>729</v>
      </c>
      <c r="D156" s="9">
        <v>1</v>
      </c>
      <c r="E156" s="9">
        <v>1</v>
      </c>
      <c r="F156" s="9" t="s">
        <v>50</v>
      </c>
      <c r="G156" s="9" t="s">
        <v>288</v>
      </c>
      <c r="H156" s="9"/>
      <c r="I156" s="9" t="s">
        <v>657</v>
      </c>
      <c r="J156" s="9" t="s">
        <v>53</v>
      </c>
      <c r="K156" s="9" t="s">
        <v>206</v>
      </c>
      <c r="L156" s="9" t="s">
        <v>113</v>
      </c>
      <c r="M156" s="9" t="s">
        <v>56</v>
      </c>
      <c r="N156" s="9" t="s">
        <v>644</v>
      </c>
      <c r="O156" s="9">
        <v>3</v>
      </c>
      <c r="P156" s="9" t="s">
        <v>58</v>
      </c>
      <c r="Q156" s="9">
        <v>3950</v>
      </c>
      <c r="R156" s="9">
        <v>32</v>
      </c>
      <c r="S156" s="9"/>
      <c r="T156" s="9">
        <v>150</v>
      </c>
      <c r="U156" s="9">
        <v>10</v>
      </c>
      <c r="V156" s="9">
        <v>1</v>
      </c>
      <c r="W156" s="9">
        <v>1</v>
      </c>
      <c r="X156" s="9">
        <v>230</v>
      </c>
      <c r="Y156" s="9">
        <v>63.633411</v>
      </c>
      <c r="Z156" s="9">
        <v>1.5</v>
      </c>
      <c r="AA156" s="9">
        <v>320</v>
      </c>
      <c r="AB156" s="9">
        <v>320</v>
      </c>
      <c r="AC156" s="9" t="s">
        <v>650</v>
      </c>
      <c r="AD156" s="9">
        <v>3</v>
      </c>
      <c r="AE156" s="9">
        <v>3.3</v>
      </c>
      <c r="AF156" s="9" t="s">
        <v>651</v>
      </c>
      <c r="AG156" s="9"/>
      <c r="AH156" s="9" t="s">
        <v>61</v>
      </c>
      <c r="AI156" s="9">
        <v>82</v>
      </c>
      <c r="AJ156" s="9">
        <v>100</v>
      </c>
      <c r="AK156" s="9" t="s">
        <v>730</v>
      </c>
      <c r="AL156" s="9">
        <v>8</v>
      </c>
      <c r="AM156" s="9"/>
      <c r="AN156" s="9" t="s">
        <v>210</v>
      </c>
      <c r="AO156" s="9" t="s">
        <v>211</v>
      </c>
      <c r="AP156" s="9" t="s">
        <v>212</v>
      </c>
      <c r="AQ156" s="9"/>
      <c r="AR156" s="9" t="s">
        <v>274</v>
      </c>
      <c r="AS156" s="9" t="s">
        <v>302</v>
      </c>
      <c r="AT156" s="9" t="s">
        <v>69</v>
      </c>
      <c r="AU156" s="9" t="s">
        <v>70</v>
      </c>
      <c r="AV156" s="9">
        <v>30</v>
      </c>
    </row>
    <row r="157" spans="1:48">
      <c r="A157" s="9">
        <f t="shared" si="2"/>
        <v>156</v>
      </c>
      <c r="B157" s="9" t="s">
        <v>725</v>
      </c>
      <c r="C157" s="9" t="s">
        <v>731</v>
      </c>
      <c r="D157" s="9">
        <v>0</v>
      </c>
      <c r="E157" s="9">
        <v>0</v>
      </c>
      <c r="F157" s="9" t="s">
        <v>50</v>
      </c>
      <c r="G157" s="9" t="s">
        <v>654</v>
      </c>
      <c r="H157" s="9"/>
      <c r="I157" s="9" t="s">
        <v>643</v>
      </c>
      <c r="J157" s="9" t="s">
        <v>53</v>
      </c>
      <c r="K157" s="9" t="s">
        <v>206</v>
      </c>
      <c r="L157" s="9"/>
      <c r="M157" s="9" t="s">
        <v>56</v>
      </c>
      <c r="N157" s="9" t="s">
        <v>644</v>
      </c>
      <c r="O157" s="9">
        <v>4</v>
      </c>
      <c r="P157" s="9" t="s">
        <v>58</v>
      </c>
      <c r="Q157" s="9">
        <v>691</v>
      </c>
      <c r="R157" s="9">
        <v>19</v>
      </c>
      <c r="S157" s="9"/>
      <c r="T157" s="9">
        <v>150</v>
      </c>
      <c r="U157" s="9">
        <v>4</v>
      </c>
      <c r="V157" s="9">
        <v>1</v>
      </c>
      <c r="W157" s="9">
        <v>1</v>
      </c>
      <c r="X157" s="9">
        <v>200</v>
      </c>
      <c r="Y157" s="9">
        <v>63.633411</v>
      </c>
      <c r="Z157" s="9">
        <v>1.5</v>
      </c>
      <c r="AA157" s="9">
        <v>256</v>
      </c>
      <c r="AB157" s="9">
        <v>256</v>
      </c>
      <c r="AC157" s="9" t="s">
        <v>645</v>
      </c>
      <c r="AD157" s="9">
        <v>3</v>
      </c>
      <c r="AE157" s="9">
        <v>3.3</v>
      </c>
      <c r="AF157" s="9" t="s">
        <v>646</v>
      </c>
      <c r="AG157" s="9"/>
      <c r="AH157" s="9" t="s">
        <v>61</v>
      </c>
      <c r="AI157" s="9">
        <v>70</v>
      </c>
      <c r="AJ157" s="9">
        <v>100</v>
      </c>
      <c r="AK157" s="9" t="s">
        <v>730</v>
      </c>
      <c r="AL157" s="9">
        <v>1</v>
      </c>
      <c r="AM157" s="9"/>
      <c r="AN157" s="9" t="s">
        <v>210</v>
      </c>
      <c r="AO157" s="9" t="s">
        <v>211</v>
      </c>
      <c r="AP157" s="9" t="s">
        <v>212</v>
      </c>
      <c r="AQ157" s="9"/>
      <c r="AR157" s="9" t="s">
        <v>274</v>
      </c>
      <c r="AS157" s="9" t="s">
        <v>302</v>
      </c>
      <c r="AT157" s="9" t="s">
        <v>69</v>
      </c>
      <c r="AU157" s="9" t="s">
        <v>70</v>
      </c>
      <c r="AV157" s="9">
        <v>30</v>
      </c>
    </row>
    <row r="158" spans="1:48">
      <c r="A158" s="9">
        <f t="shared" si="2"/>
        <v>157</v>
      </c>
      <c r="B158" s="9" t="s">
        <v>725</v>
      </c>
      <c r="C158" s="9" t="s">
        <v>732</v>
      </c>
      <c r="D158" s="9">
        <v>1</v>
      </c>
      <c r="E158" s="9">
        <v>1</v>
      </c>
      <c r="F158" s="9" t="s">
        <v>91</v>
      </c>
      <c r="G158" s="9" t="s">
        <v>649</v>
      </c>
      <c r="H158" s="9"/>
      <c r="I158" s="9" t="s">
        <v>342</v>
      </c>
      <c r="J158" s="9" t="s">
        <v>53</v>
      </c>
      <c r="K158" s="9" t="s">
        <v>206</v>
      </c>
      <c r="L158" s="9" t="s">
        <v>113</v>
      </c>
      <c r="M158" s="9" t="s">
        <v>56</v>
      </c>
      <c r="N158" s="9" t="s">
        <v>644</v>
      </c>
      <c r="O158" s="9">
        <v>2</v>
      </c>
      <c r="P158" s="9" t="s">
        <v>58</v>
      </c>
      <c r="Q158" s="9">
        <v>3520</v>
      </c>
      <c r="R158" s="9">
        <v>30</v>
      </c>
      <c r="S158" s="9"/>
      <c r="T158" s="9">
        <v>150</v>
      </c>
      <c r="U158" s="9">
        <v>9</v>
      </c>
      <c r="V158" s="9">
        <v>1</v>
      </c>
      <c r="W158" s="9">
        <v>1</v>
      </c>
      <c r="X158" s="9">
        <v>250</v>
      </c>
      <c r="Y158" s="9">
        <v>63.633425</v>
      </c>
      <c r="Z158" s="9">
        <v>1.5</v>
      </c>
      <c r="AA158" s="9">
        <v>320</v>
      </c>
      <c r="AB158" s="9">
        <v>320</v>
      </c>
      <c r="AC158" s="9" t="s">
        <v>650</v>
      </c>
      <c r="AD158" s="9">
        <v>3</v>
      </c>
      <c r="AE158" s="9">
        <v>3.3</v>
      </c>
      <c r="AF158" s="9" t="s">
        <v>651</v>
      </c>
      <c r="AG158" s="9"/>
      <c r="AH158" s="9" t="s">
        <v>61</v>
      </c>
      <c r="AI158" s="9">
        <v>82</v>
      </c>
      <c r="AJ158" s="9">
        <v>100</v>
      </c>
      <c r="AK158" s="9" t="s">
        <v>733</v>
      </c>
      <c r="AL158" s="9">
        <v>17</v>
      </c>
      <c r="AM158" s="9"/>
      <c r="AN158" s="9" t="s">
        <v>210</v>
      </c>
      <c r="AO158" s="9" t="s">
        <v>211</v>
      </c>
      <c r="AP158" s="9" t="s">
        <v>212</v>
      </c>
      <c r="AQ158" s="9"/>
      <c r="AR158" s="9" t="s">
        <v>274</v>
      </c>
      <c r="AS158" s="9" t="s">
        <v>302</v>
      </c>
      <c r="AT158" s="9" t="s">
        <v>69</v>
      </c>
      <c r="AU158" s="9" t="s">
        <v>70</v>
      </c>
      <c r="AV158" s="9">
        <v>30</v>
      </c>
    </row>
    <row r="159" spans="1:48">
      <c r="A159" s="9">
        <f t="shared" si="2"/>
        <v>158</v>
      </c>
      <c r="B159" s="9" t="s">
        <v>734</v>
      </c>
      <c r="C159" s="9" t="s">
        <v>735</v>
      </c>
      <c r="D159" s="9">
        <v>1</v>
      </c>
      <c r="E159" s="9">
        <v>1</v>
      </c>
      <c r="F159" s="9" t="s">
        <v>50</v>
      </c>
      <c r="G159" s="9" t="s">
        <v>604</v>
      </c>
      <c r="H159" s="9"/>
      <c r="I159" s="9"/>
      <c r="J159" s="9" t="s">
        <v>53</v>
      </c>
      <c r="K159" s="9" t="s">
        <v>97</v>
      </c>
      <c r="L159" s="9" t="s">
        <v>113</v>
      </c>
      <c r="M159" s="9" t="s">
        <v>56</v>
      </c>
      <c r="N159" s="9" t="s">
        <v>99</v>
      </c>
      <c r="O159" s="9">
        <v>401</v>
      </c>
      <c r="P159" s="9" t="s">
        <v>58</v>
      </c>
      <c r="Q159" s="10">
        <v>3143.97900390625</v>
      </c>
      <c r="R159" s="9">
        <v>35</v>
      </c>
      <c r="S159" s="9"/>
      <c r="T159" s="9">
        <v>90</v>
      </c>
      <c r="U159" s="9">
        <v>15</v>
      </c>
      <c r="V159" s="9">
        <v>1</v>
      </c>
      <c r="W159" s="9">
        <v>2</v>
      </c>
      <c r="X159" s="9">
        <v>217</v>
      </c>
      <c r="Y159" s="9">
        <v>127.769368</v>
      </c>
      <c r="Z159" s="9">
        <v>3</v>
      </c>
      <c r="AA159" s="9">
        <v>512</v>
      </c>
      <c r="AB159" s="9">
        <v>512</v>
      </c>
      <c r="AC159" s="9" t="s">
        <v>311</v>
      </c>
      <c r="AD159" s="9">
        <v>3</v>
      </c>
      <c r="AE159" s="9">
        <v>3.3</v>
      </c>
      <c r="AF159" s="9" t="s">
        <v>736</v>
      </c>
      <c r="AG159" s="9"/>
      <c r="AH159" s="9" t="s">
        <v>77</v>
      </c>
      <c r="AI159" s="10">
        <v>119.741104125976</v>
      </c>
      <c r="AJ159" s="9">
        <v>100</v>
      </c>
      <c r="AK159" s="9" t="s">
        <v>737</v>
      </c>
      <c r="AL159" s="9">
        <v>13</v>
      </c>
      <c r="AM159" s="9"/>
      <c r="AN159" s="9" t="s">
        <v>400</v>
      </c>
      <c r="AO159" s="9" t="s">
        <v>369</v>
      </c>
      <c r="AP159" s="9" t="s">
        <v>738</v>
      </c>
      <c r="AQ159" s="9" t="s">
        <v>486</v>
      </c>
      <c r="AR159" s="9"/>
      <c r="AS159" s="9" t="s">
        <v>68</v>
      </c>
      <c r="AT159" s="9" t="s">
        <v>69</v>
      </c>
      <c r="AU159" s="9"/>
      <c r="AV159" s="9">
        <v>35</v>
      </c>
    </row>
    <row r="160" spans="1:48">
      <c r="A160" s="9">
        <f t="shared" si="2"/>
        <v>159</v>
      </c>
      <c r="B160" s="9" t="s">
        <v>734</v>
      </c>
      <c r="C160" s="9" t="s">
        <v>739</v>
      </c>
      <c r="D160" s="9">
        <v>0</v>
      </c>
      <c r="E160" s="9">
        <v>0</v>
      </c>
      <c r="F160" s="9" t="s">
        <v>50</v>
      </c>
      <c r="G160" s="9" t="s">
        <v>604</v>
      </c>
      <c r="H160" s="9"/>
      <c r="I160" s="9"/>
      <c r="J160" s="9" t="s">
        <v>53</v>
      </c>
      <c r="K160" s="9" t="s">
        <v>97</v>
      </c>
      <c r="L160" s="9" t="s">
        <v>98</v>
      </c>
      <c r="M160" s="9" t="s">
        <v>56</v>
      </c>
      <c r="N160" s="9" t="s">
        <v>99</v>
      </c>
      <c r="O160" s="9">
        <v>501</v>
      </c>
      <c r="P160" s="9" t="s">
        <v>58</v>
      </c>
      <c r="Q160" s="10">
        <v>664.615783691406</v>
      </c>
      <c r="R160" s="9">
        <v>15</v>
      </c>
      <c r="S160" s="9"/>
      <c r="T160" s="9">
        <v>90</v>
      </c>
      <c r="U160" s="9">
        <v>9</v>
      </c>
      <c r="V160" s="9">
        <v>1</v>
      </c>
      <c r="W160" s="9">
        <v>3</v>
      </c>
      <c r="X160" s="9">
        <v>192</v>
      </c>
      <c r="Y160" s="9">
        <v>127.769304</v>
      </c>
      <c r="Z160" s="9">
        <v>3</v>
      </c>
      <c r="AA160" s="9">
        <v>512</v>
      </c>
      <c r="AB160" s="9">
        <v>512</v>
      </c>
      <c r="AC160" s="9" t="s">
        <v>311</v>
      </c>
      <c r="AD160" s="9">
        <v>3</v>
      </c>
      <c r="AE160" s="9">
        <v>3.3</v>
      </c>
      <c r="AF160" s="9" t="s">
        <v>740</v>
      </c>
      <c r="AG160" s="9"/>
      <c r="AH160" s="9" t="s">
        <v>77</v>
      </c>
      <c r="AI160" s="9">
        <v>100</v>
      </c>
      <c r="AJ160" s="9">
        <v>100</v>
      </c>
      <c r="AK160" s="9" t="s">
        <v>737</v>
      </c>
      <c r="AL160" s="9">
        <v>2</v>
      </c>
      <c r="AM160" s="9"/>
      <c r="AN160" s="9" t="s">
        <v>400</v>
      </c>
      <c r="AO160" s="9" t="s">
        <v>369</v>
      </c>
      <c r="AP160" s="9" t="s">
        <v>738</v>
      </c>
      <c r="AQ160" s="9" t="s">
        <v>486</v>
      </c>
      <c r="AR160" s="9"/>
      <c r="AS160" s="9" t="s">
        <v>68</v>
      </c>
      <c r="AT160" s="9" t="s">
        <v>69</v>
      </c>
      <c r="AU160" s="9"/>
      <c r="AV160" s="9">
        <v>35</v>
      </c>
    </row>
    <row r="161" spans="1:48">
      <c r="A161" s="9">
        <f t="shared" si="2"/>
        <v>160</v>
      </c>
      <c r="B161" s="9" t="s">
        <v>734</v>
      </c>
      <c r="C161" s="9" t="s">
        <v>741</v>
      </c>
      <c r="D161" s="9">
        <v>1</v>
      </c>
      <c r="E161" s="9">
        <v>1</v>
      </c>
      <c r="F161" s="9" t="s">
        <v>91</v>
      </c>
      <c r="G161" s="9" t="s">
        <v>604</v>
      </c>
      <c r="H161" s="9"/>
      <c r="I161" s="9"/>
      <c r="J161" s="9" t="s">
        <v>53</v>
      </c>
      <c r="K161" s="9" t="s">
        <v>97</v>
      </c>
      <c r="L161" s="9" t="s">
        <v>113</v>
      </c>
      <c r="M161" s="9" t="s">
        <v>56</v>
      </c>
      <c r="N161" s="9" t="s">
        <v>99</v>
      </c>
      <c r="O161" s="9">
        <v>201</v>
      </c>
      <c r="P161" s="9" t="s">
        <v>58</v>
      </c>
      <c r="Q161" s="10">
        <v>2472.38842773437</v>
      </c>
      <c r="R161" s="9">
        <v>30</v>
      </c>
      <c r="S161" s="9"/>
      <c r="T161" s="9">
        <v>90</v>
      </c>
      <c r="U161" s="9">
        <v>14</v>
      </c>
      <c r="V161" s="9">
        <v>1</v>
      </c>
      <c r="W161" s="9">
        <v>1</v>
      </c>
      <c r="X161" s="9">
        <v>217</v>
      </c>
      <c r="Y161" s="9">
        <v>127.769352</v>
      </c>
      <c r="Z161" s="9">
        <v>3</v>
      </c>
      <c r="AA161" s="9">
        <v>512</v>
      </c>
      <c r="AB161" s="9">
        <v>512</v>
      </c>
      <c r="AC161" s="9" t="s">
        <v>311</v>
      </c>
      <c r="AD161" s="9">
        <v>4</v>
      </c>
      <c r="AE161" s="9">
        <v>4.4</v>
      </c>
      <c r="AF161" s="9" t="s">
        <v>742</v>
      </c>
      <c r="AG161" s="9"/>
      <c r="AH161" s="9" t="s">
        <v>61</v>
      </c>
      <c r="AI161" s="10">
        <v>119.70149230957</v>
      </c>
      <c r="AJ161" s="9">
        <v>100</v>
      </c>
      <c r="AK161" s="9" t="s">
        <v>743</v>
      </c>
      <c r="AL161" s="9">
        <v>22</v>
      </c>
      <c r="AM161" s="9"/>
      <c r="AN161" s="9" t="s">
        <v>400</v>
      </c>
      <c r="AO161" s="9" t="s">
        <v>369</v>
      </c>
      <c r="AP161" s="9" t="s">
        <v>738</v>
      </c>
      <c r="AQ161" s="9" t="s">
        <v>486</v>
      </c>
      <c r="AR161" s="9"/>
      <c r="AS161" s="9" t="s">
        <v>68</v>
      </c>
      <c r="AT161" s="9" t="s">
        <v>69</v>
      </c>
      <c r="AU161" s="9"/>
      <c r="AV161" s="9">
        <v>30</v>
      </c>
    </row>
    <row r="162" spans="1:48">
      <c r="A162" s="9">
        <f t="shared" si="2"/>
        <v>161</v>
      </c>
      <c r="B162" s="9" t="s">
        <v>734</v>
      </c>
      <c r="C162" s="9" t="s">
        <v>744</v>
      </c>
      <c r="D162" s="9">
        <v>1</v>
      </c>
      <c r="E162" s="9">
        <v>1</v>
      </c>
      <c r="F162" s="9" t="s">
        <v>72</v>
      </c>
      <c r="G162" s="9" t="s">
        <v>604</v>
      </c>
      <c r="H162" s="9"/>
      <c r="I162" s="9"/>
      <c r="J162" s="9" t="s">
        <v>53</v>
      </c>
      <c r="K162" s="9" t="s">
        <v>97</v>
      </c>
      <c r="L162" s="9" t="s">
        <v>113</v>
      </c>
      <c r="M162" s="9" t="s">
        <v>56</v>
      </c>
      <c r="N162" s="9" t="s">
        <v>99</v>
      </c>
      <c r="O162" s="9">
        <v>301</v>
      </c>
      <c r="P162" s="9" t="s">
        <v>58</v>
      </c>
      <c r="Q162" s="10">
        <v>2472.37939453125</v>
      </c>
      <c r="R162" s="9">
        <v>35</v>
      </c>
      <c r="S162" s="9"/>
      <c r="T162" s="9">
        <v>90</v>
      </c>
      <c r="U162" s="9">
        <v>14</v>
      </c>
      <c r="V162" s="9">
        <v>1</v>
      </c>
      <c r="W162" s="9">
        <v>2</v>
      </c>
      <c r="X162" s="9">
        <v>217</v>
      </c>
      <c r="Y162" s="9">
        <v>127.769344</v>
      </c>
      <c r="Z162" s="9">
        <v>3</v>
      </c>
      <c r="AA162" s="9">
        <v>512</v>
      </c>
      <c r="AB162" s="9">
        <v>512</v>
      </c>
      <c r="AC162" s="9" t="s">
        <v>745</v>
      </c>
      <c r="AD162" s="9">
        <v>3.2</v>
      </c>
      <c r="AE162" s="9">
        <v>3.7</v>
      </c>
      <c r="AF162" s="9" t="s">
        <v>746</v>
      </c>
      <c r="AG162" s="9"/>
      <c r="AH162" s="9" t="s">
        <v>77</v>
      </c>
      <c r="AI162" s="10">
        <v>120.552146911621</v>
      </c>
      <c r="AJ162" s="9">
        <v>100</v>
      </c>
      <c r="AK162" s="9" t="s">
        <v>747</v>
      </c>
      <c r="AL162" s="9">
        <v>24</v>
      </c>
      <c r="AM162" s="9"/>
      <c r="AN162" s="9" t="s">
        <v>400</v>
      </c>
      <c r="AO162" s="9" t="s">
        <v>369</v>
      </c>
      <c r="AP162" s="9" t="s">
        <v>738</v>
      </c>
      <c r="AQ162" s="9" t="s">
        <v>486</v>
      </c>
      <c r="AR162" s="9"/>
      <c r="AS162" s="9" t="s">
        <v>68</v>
      </c>
      <c r="AT162" s="9" t="s">
        <v>69</v>
      </c>
      <c r="AU162" s="9"/>
      <c r="AV162" s="9">
        <v>30</v>
      </c>
    </row>
    <row r="163" spans="1:48">
      <c r="A163" s="9">
        <f t="shared" si="2"/>
        <v>162</v>
      </c>
      <c r="B163" s="9" t="s">
        <v>748</v>
      </c>
      <c r="C163" s="9" t="s">
        <v>749</v>
      </c>
      <c r="D163" s="9">
        <v>1</v>
      </c>
      <c r="E163" s="9">
        <v>1</v>
      </c>
      <c r="F163" s="9" t="s">
        <v>72</v>
      </c>
      <c r="G163" s="9" t="s">
        <v>750</v>
      </c>
      <c r="H163" s="9"/>
      <c r="I163" s="9"/>
      <c r="J163" s="9" t="s">
        <v>53</v>
      </c>
      <c r="K163" s="9" t="s">
        <v>143</v>
      </c>
      <c r="L163" s="9" t="s">
        <v>751</v>
      </c>
      <c r="M163" s="9" t="s">
        <v>56</v>
      </c>
      <c r="N163" s="9" t="s">
        <v>145</v>
      </c>
      <c r="O163" s="9">
        <v>7</v>
      </c>
      <c r="P163" s="9" t="s">
        <v>58</v>
      </c>
      <c r="Q163" s="9">
        <v>2291</v>
      </c>
      <c r="R163" s="9">
        <v>33.048</v>
      </c>
      <c r="S163" s="9"/>
      <c r="T163" s="9">
        <v>160</v>
      </c>
      <c r="U163" s="9">
        <v>9</v>
      </c>
      <c r="V163" s="9">
        <v>1</v>
      </c>
      <c r="W163" s="9">
        <v>1</v>
      </c>
      <c r="X163" s="9">
        <v>97.6562</v>
      </c>
      <c r="Y163" s="9">
        <v>63.904365</v>
      </c>
      <c r="Z163" s="9">
        <v>1.5</v>
      </c>
      <c r="AA163" s="9">
        <v>512</v>
      </c>
      <c r="AB163" s="9">
        <v>512</v>
      </c>
      <c r="AC163" s="9" t="s">
        <v>507</v>
      </c>
      <c r="AD163" s="9">
        <v>4</v>
      </c>
      <c r="AE163" s="9">
        <v>4.5</v>
      </c>
      <c r="AF163" s="9" t="s">
        <v>752</v>
      </c>
      <c r="AG163" s="9"/>
      <c r="AH163" s="9" t="s">
        <v>77</v>
      </c>
      <c r="AI163" s="9">
        <v>100</v>
      </c>
      <c r="AJ163" s="9">
        <v>100</v>
      </c>
      <c r="AK163" s="9" t="s">
        <v>753</v>
      </c>
      <c r="AL163" s="9">
        <v>26</v>
      </c>
      <c r="AM163" s="9"/>
      <c r="AN163" s="9" t="s">
        <v>149</v>
      </c>
      <c r="AO163" s="9" t="s">
        <v>754</v>
      </c>
      <c r="AP163" s="9" t="s">
        <v>755</v>
      </c>
      <c r="AQ163" s="9" t="s">
        <v>756</v>
      </c>
      <c r="AR163" s="9" t="s">
        <v>756</v>
      </c>
      <c r="AS163" s="9" t="s">
        <v>68</v>
      </c>
      <c r="AT163" s="9" t="s">
        <v>69</v>
      </c>
      <c r="AU163" s="9"/>
      <c r="AV163" s="9">
        <v>31</v>
      </c>
    </row>
    <row r="164" spans="1:48">
      <c r="A164" s="9">
        <f t="shared" si="2"/>
        <v>163</v>
      </c>
      <c r="B164" s="9" t="s">
        <v>748</v>
      </c>
      <c r="C164" s="9" t="s">
        <v>757</v>
      </c>
      <c r="D164" s="9">
        <v>1</v>
      </c>
      <c r="E164" s="9">
        <v>1</v>
      </c>
      <c r="F164" s="9" t="s">
        <v>91</v>
      </c>
      <c r="G164" s="9" t="s">
        <v>758</v>
      </c>
      <c r="H164" s="9"/>
      <c r="I164" s="9"/>
      <c r="J164" s="9" t="s">
        <v>53</v>
      </c>
      <c r="K164" s="9" t="s">
        <v>143</v>
      </c>
      <c r="L164" s="9" t="s">
        <v>759</v>
      </c>
      <c r="M164" s="9" t="s">
        <v>56</v>
      </c>
      <c r="N164" s="9" t="s">
        <v>145</v>
      </c>
      <c r="O164" s="9">
        <v>4</v>
      </c>
      <c r="P164" s="9" t="s">
        <v>58</v>
      </c>
      <c r="Q164" s="9">
        <v>4047</v>
      </c>
      <c r="R164" s="9">
        <v>41.4</v>
      </c>
      <c r="S164" s="9"/>
      <c r="T164" s="9">
        <v>160</v>
      </c>
      <c r="U164" s="9">
        <v>9</v>
      </c>
      <c r="V164" s="9">
        <v>1</v>
      </c>
      <c r="W164" s="9">
        <v>1</v>
      </c>
      <c r="X164" s="9">
        <v>122.07</v>
      </c>
      <c r="Y164" s="9">
        <v>63.904355</v>
      </c>
      <c r="Z164" s="9">
        <v>1.5</v>
      </c>
      <c r="AA164" s="9">
        <v>512</v>
      </c>
      <c r="AB164" s="9">
        <v>512</v>
      </c>
      <c r="AC164" s="9" t="s">
        <v>507</v>
      </c>
      <c r="AD164" s="9">
        <v>4</v>
      </c>
      <c r="AE164" s="9">
        <v>4.5</v>
      </c>
      <c r="AF164" s="9" t="s">
        <v>760</v>
      </c>
      <c r="AG164" s="9"/>
      <c r="AH164" s="9" t="s">
        <v>77</v>
      </c>
      <c r="AI164" s="9">
        <v>100</v>
      </c>
      <c r="AJ164" s="9">
        <v>100</v>
      </c>
      <c r="AK164" s="9" t="s">
        <v>761</v>
      </c>
      <c r="AL164" s="9">
        <v>12</v>
      </c>
      <c r="AM164" s="9"/>
      <c r="AN164" s="9" t="s">
        <v>149</v>
      </c>
      <c r="AO164" s="9" t="s">
        <v>754</v>
      </c>
      <c r="AP164" s="9" t="s">
        <v>755</v>
      </c>
      <c r="AQ164" s="9" t="s">
        <v>756</v>
      </c>
      <c r="AR164" s="9" t="s">
        <v>756</v>
      </c>
      <c r="AS164" s="9" t="s">
        <v>68</v>
      </c>
      <c r="AT164" s="9" t="s">
        <v>69</v>
      </c>
      <c r="AU164" s="9"/>
      <c r="AV164" s="9">
        <v>32</v>
      </c>
    </row>
    <row r="165" spans="1:48">
      <c r="A165" s="9">
        <f t="shared" si="2"/>
        <v>164</v>
      </c>
      <c r="B165" s="9" t="s">
        <v>748</v>
      </c>
      <c r="C165" s="9" t="s">
        <v>762</v>
      </c>
      <c r="D165" s="9">
        <v>0</v>
      </c>
      <c r="E165" s="9">
        <v>0</v>
      </c>
      <c r="F165" s="9" t="s">
        <v>50</v>
      </c>
      <c r="G165" s="9" t="s">
        <v>763</v>
      </c>
      <c r="H165" s="9"/>
      <c r="I165" s="9"/>
      <c r="J165" s="9" t="s">
        <v>53</v>
      </c>
      <c r="K165" s="9" t="s">
        <v>143</v>
      </c>
      <c r="L165" s="9" t="s">
        <v>764</v>
      </c>
      <c r="M165" s="9" t="s">
        <v>56</v>
      </c>
      <c r="N165" s="9" t="s">
        <v>145</v>
      </c>
      <c r="O165" s="9">
        <v>6</v>
      </c>
      <c r="P165" s="9" t="s">
        <v>58</v>
      </c>
      <c r="Q165" s="9">
        <v>416</v>
      </c>
      <c r="R165" s="9">
        <v>12.816</v>
      </c>
      <c r="S165" s="9"/>
      <c r="T165" s="9">
        <v>160</v>
      </c>
      <c r="U165" s="9">
        <v>4</v>
      </c>
      <c r="V165" s="9">
        <v>1</v>
      </c>
      <c r="W165" s="9">
        <v>1</v>
      </c>
      <c r="X165" s="9">
        <v>162.773</v>
      </c>
      <c r="Y165" s="9">
        <v>63.904362</v>
      </c>
      <c r="Z165" s="9">
        <v>1.5</v>
      </c>
      <c r="AA165" s="9">
        <v>512</v>
      </c>
      <c r="AB165" s="9">
        <v>512</v>
      </c>
      <c r="AC165" s="9" t="s">
        <v>507</v>
      </c>
      <c r="AD165" s="9">
        <v>4</v>
      </c>
      <c r="AE165" s="9">
        <v>4.5</v>
      </c>
      <c r="AF165" s="9" t="s">
        <v>765</v>
      </c>
      <c r="AG165" s="9"/>
      <c r="AH165" s="9" t="s">
        <v>61</v>
      </c>
      <c r="AI165" s="9">
        <v>100</v>
      </c>
      <c r="AJ165" s="9">
        <v>100</v>
      </c>
      <c r="AK165" s="9" t="s">
        <v>766</v>
      </c>
      <c r="AL165" s="9">
        <v>16</v>
      </c>
      <c r="AM165" s="9"/>
      <c r="AN165" s="9" t="s">
        <v>149</v>
      </c>
      <c r="AO165" s="9" t="s">
        <v>754</v>
      </c>
      <c r="AP165" s="9" t="s">
        <v>755</v>
      </c>
      <c r="AQ165" s="9" t="s">
        <v>756</v>
      </c>
      <c r="AR165" s="9" t="s">
        <v>756</v>
      </c>
      <c r="AS165" s="9" t="s">
        <v>68</v>
      </c>
      <c r="AT165" s="9" t="s">
        <v>69</v>
      </c>
      <c r="AU165" s="9"/>
      <c r="AV165" s="9">
        <v>20</v>
      </c>
    </row>
    <row r="166" spans="1:48">
      <c r="A166" s="9">
        <f t="shared" si="2"/>
        <v>165</v>
      </c>
      <c r="B166" s="9" t="s">
        <v>748</v>
      </c>
      <c r="C166" s="9" t="s">
        <v>767</v>
      </c>
      <c r="D166" s="9">
        <v>1</v>
      </c>
      <c r="E166" s="9">
        <v>1</v>
      </c>
      <c r="F166" s="9" t="s">
        <v>50</v>
      </c>
      <c r="G166" s="9" t="s">
        <v>768</v>
      </c>
      <c r="H166" s="9"/>
      <c r="I166" s="9"/>
      <c r="J166" s="9" t="s">
        <v>53</v>
      </c>
      <c r="K166" s="9" t="s">
        <v>143</v>
      </c>
      <c r="L166" s="9" t="s">
        <v>769</v>
      </c>
      <c r="M166" s="9" t="s">
        <v>56</v>
      </c>
      <c r="N166" s="9" t="s">
        <v>145</v>
      </c>
      <c r="O166" s="9">
        <v>5</v>
      </c>
      <c r="P166" s="9" t="s">
        <v>58</v>
      </c>
      <c r="Q166" s="9">
        <v>2641</v>
      </c>
      <c r="R166" s="9">
        <v>44.316</v>
      </c>
      <c r="S166" s="9"/>
      <c r="T166" s="9">
        <v>160</v>
      </c>
      <c r="U166" s="9">
        <v>9</v>
      </c>
      <c r="V166" s="9">
        <v>1</v>
      </c>
      <c r="W166" s="9">
        <v>1</v>
      </c>
      <c r="X166" s="9">
        <v>108.516</v>
      </c>
      <c r="Y166" s="9">
        <v>63.904362</v>
      </c>
      <c r="Z166" s="9">
        <v>1.5</v>
      </c>
      <c r="AA166" s="9">
        <v>512</v>
      </c>
      <c r="AB166" s="9">
        <v>512</v>
      </c>
      <c r="AC166" s="9" t="s">
        <v>507</v>
      </c>
      <c r="AD166" s="9">
        <v>4</v>
      </c>
      <c r="AE166" s="9">
        <v>4.5</v>
      </c>
      <c r="AF166" s="9" t="s">
        <v>770</v>
      </c>
      <c r="AG166" s="9"/>
      <c r="AH166" s="9" t="s">
        <v>61</v>
      </c>
      <c r="AI166" s="9">
        <v>100</v>
      </c>
      <c r="AJ166" s="9">
        <v>100</v>
      </c>
      <c r="AK166" s="9" t="s">
        <v>771</v>
      </c>
      <c r="AL166" s="9">
        <v>3</v>
      </c>
      <c r="AM166" s="9"/>
      <c r="AN166" s="9" t="s">
        <v>149</v>
      </c>
      <c r="AO166" s="9" t="s">
        <v>754</v>
      </c>
      <c r="AP166" s="9" t="s">
        <v>755</v>
      </c>
      <c r="AQ166" s="9" t="s">
        <v>756</v>
      </c>
      <c r="AR166" s="9" t="s">
        <v>756</v>
      </c>
      <c r="AS166" s="9" t="s">
        <v>68</v>
      </c>
      <c r="AT166" s="9" t="s">
        <v>69</v>
      </c>
      <c r="AU166" s="9"/>
      <c r="AV166" s="9">
        <v>20</v>
      </c>
    </row>
    <row r="167" spans="1:48">
      <c r="A167" s="9">
        <f t="shared" si="2"/>
        <v>166</v>
      </c>
      <c r="B167" s="9" t="s">
        <v>748</v>
      </c>
      <c r="C167" s="9" t="s">
        <v>772</v>
      </c>
      <c r="D167" s="9">
        <v>0</v>
      </c>
      <c r="E167" s="9">
        <v>0</v>
      </c>
      <c r="F167" s="9" t="s">
        <v>72</v>
      </c>
      <c r="G167" s="9" t="s">
        <v>773</v>
      </c>
      <c r="H167" s="9"/>
      <c r="I167" s="9"/>
      <c r="J167" s="9" t="s">
        <v>53</v>
      </c>
      <c r="K167" s="9" t="s">
        <v>143</v>
      </c>
      <c r="L167" s="9" t="s">
        <v>774</v>
      </c>
      <c r="M167" s="9" t="s">
        <v>56</v>
      </c>
      <c r="N167" s="9" t="s">
        <v>145</v>
      </c>
      <c r="O167" s="9">
        <v>8</v>
      </c>
      <c r="P167" s="9" t="s">
        <v>58</v>
      </c>
      <c r="Q167" s="9">
        <v>672</v>
      </c>
      <c r="R167" s="9">
        <v>12.948</v>
      </c>
      <c r="S167" s="9"/>
      <c r="T167" s="9">
        <v>160</v>
      </c>
      <c r="U167" s="9">
        <v>4</v>
      </c>
      <c r="V167" s="9">
        <v>1</v>
      </c>
      <c r="W167" s="9">
        <v>1</v>
      </c>
      <c r="X167" s="9">
        <v>162.773</v>
      </c>
      <c r="Y167" s="9">
        <v>63.904365</v>
      </c>
      <c r="Z167" s="9">
        <v>1.5</v>
      </c>
      <c r="AA167" s="9">
        <v>512</v>
      </c>
      <c r="AB167" s="9">
        <v>512</v>
      </c>
      <c r="AC167" s="9" t="s">
        <v>507</v>
      </c>
      <c r="AD167" s="9">
        <v>4</v>
      </c>
      <c r="AE167" s="9">
        <v>4.5</v>
      </c>
      <c r="AF167" s="9" t="s">
        <v>752</v>
      </c>
      <c r="AG167" s="9"/>
      <c r="AH167" s="9" t="s">
        <v>77</v>
      </c>
      <c r="AI167" s="9">
        <v>100</v>
      </c>
      <c r="AJ167" s="9">
        <v>100</v>
      </c>
      <c r="AK167" s="9" t="s">
        <v>775</v>
      </c>
      <c r="AL167" s="9">
        <v>11</v>
      </c>
      <c r="AM167" s="9"/>
      <c r="AN167" s="9" t="s">
        <v>149</v>
      </c>
      <c r="AO167" s="9" t="s">
        <v>754</v>
      </c>
      <c r="AP167" s="9" t="s">
        <v>755</v>
      </c>
      <c r="AQ167" s="9" t="s">
        <v>756</v>
      </c>
      <c r="AR167" s="9" t="s">
        <v>756</v>
      </c>
      <c r="AS167" s="9" t="s">
        <v>68</v>
      </c>
      <c r="AT167" s="9" t="s">
        <v>69</v>
      </c>
      <c r="AU167" s="9"/>
      <c r="AV167" s="9">
        <v>31</v>
      </c>
    </row>
    <row r="168" spans="1:48">
      <c r="A168" s="9">
        <f t="shared" si="2"/>
        <v>167</v>
      </c>
      <c r="B168" s="9" t="s">
        <v>776</v>
      </c>
      <c r="C168" s="9" t="s">
        <v>777</v>
      </c>
      <c r="D168" s="9">
        <v>1</v>
      </c>
      <c r="E168" s="9">
        <v>1</v>
      </c>
      <c r="F168" s="9" t="s">
        <v>50</v>
      </c>
      <c r="G168" s="9" t="s">
        <v>477</v>
      </c>
      <c r="H168" s="9"/>
      <c r="I168" s="9" t="s">
        <v>478</v>
      </c>
      <c r="J168" s="9" t="s">
        <v>53</v>
      </c>
      <c r="K168" s="9" t="s">
        <v>206</v>
      </c>
      <c r="L168" s="9" t="s">
        <v>113</v>
      </c>
      <c r="M168" s="9" t="s">
        <v>56</v>
      </c>
      <c r="N168" s="9" t="s">
        <v>462</v>
      </c>
      <c r="O168" s="9">
        <v>9</v>
      </c>
      <c r="P168" s="9" t="s">
        <v>58</v>
      </c>
      <c r="Q168" s="9">
        <v>2000</v>
      </c>
      <c r="R168" s="9">
        <v>41</v>
      </c>
      <c r="S168" s="9"/>
      <c r="T168" s="9">
        <v>150</v>
      </c>
      <c r="U168" s="9">
        <v>5</v>
      </c>
      <c r="V168" s="9">
        <v>0</v>
      </c>
      <c r="W168" s="9">
        <v>1</v>
      </c>
      <c r="X168" s="9">
        <v>130</v>
      </c>
      <c r="Y168" s="9">
        <v>63.638444</v>
      </c>
      <c r="Z168" s="9">
        <v>1.5</v>
      </c>
      <c r="AA168" s="9">
        <v>384</v>
      </c>
      <c r="AB168" s="9">
        <v>384</v>
      </c>
      <c r="AC168" s="9" t="s">
        <v>688</v>
      </c>
      <c r="AD168" s="9">
        <v>4</v>
      </c>
      <c r="AE168" s="9">
        <v>4.8</v>
      </c>
      <c r="AF168" s="9" t="s">
        <v>470</v>
      </c>
      <c r="AG168" s="9"/>
      <c r="AH168" s="9" t="s">
        <v>77</v>
      </c>
      <c r="AI168" s="9">
        <v>100</v>
      </c>
      <c r="AJ168" s="9">
        <v>100</v>
      </c>
      <c r="AK168" s="9" t="s">
        <v>778</v>
      </c>
      <c r="AL168" s="9">
        <v>7</v>
      </c>
      <c r="AM168" s="9"/>
      <c r="AN168" s="9" t="s">
        <v>210</v>
      </c>
      <c r="AO168" s="9" t="s">
        <v>464</v>
      </c>
      <c r="AP168" s="9" t="s">
        <v>465</v>
      </c>
      <c r="AQ168" s="9"/>
      <c r="AR168" s="9" t="s">
        <v>466</v>
      </c>
      <c r="AS168" s="9"/>
      <c r="AT168" s="9" t="s">
        <v>69</v>
      </c>
      <c r="AU168" s="9"/>
      <c r="AV168" s="9">
        <v>19</v>
      </c>
    </row>
    <row r="169" spans="1:48">
      <c r="A169" s="9">
        <f t="shared" si="2"/>
        <v>168</v>
      </c>
      <c r="B169" s="9" t="s">
        <v>776</v>
      </c>
      <c r="C169" s="9" t="s">
        <v>779</v>
      </c>
      <c r="D169" s="9">
        <v>1</v>
      </c>
      <c r="E169" s="9">
        <v>1</v>
      </c>
      <c r="F169" s="9" t="s">
        <v>72</v>
      </c>
      <c r="G169" s="9" t="s">
        <v>473</v>
      </c>
      <c r="H169" s="9"/>
      <c r="I169" s="9" t="s">
        <v>342</v>
      </c>
      <c r="J169" s="9" t="s">
        <v>53</v>
      </c>
      <c r="K169" s="9" t="s">
        <v>206</v>
      </c>
      <c r="L169" s="9" t="s">
        <v>113</v>
      </c>
      <c r="M169" s="9" t="s">
        <v>56</v>
      </c>
      <c r="N169" s="9" t="s">
        <v>462</v>
      </c>
      <c r="O169" s="9">
        <v>7</v>
      </c>
      <c r="P169" s="9" t="s">
        <v>58</v>
      </c>
      <c r="Q169" s="9">
        <v>3500</v>
      </c>
      <c r="R169" s="9">
        <v>14</v>
      </c>
      <c r="S169" s="9"/>
      <c r="T169" s="9">
        <v>150</v>
      </c>
      <c r="U169" s="9">
        <v>9</v>
      </c>
      <c r="V169" s="9">
        <v>0</v>
      </c>
      <c r="W169" s="9">
        <v>1</v>
      </c>
      <c r="X169" s="9">
        <v>130</v>
      </c>
      <c r="Y169" s="9">
        <v>63.638443</v>
      </c>
      <c r="Z169" s="9">
        <v>1.5</v>
      </c>
      <c r="AA169" s="9">
        <v>384</v>
      </c>
      <c r="AB169" s="9">
        <v>384</v>
      </c>
      <c r="AC169" s="9" t="s">
        <v>75</v>
      </c>
      <c r="AD169" s="9">
        <v>4</v>
      </c>
      <c r="AE169" s="9">
        <v>4.8</v>
      </c>
      <c r="AF169" s="9" t="s">
        <v>470</v>
      </c>
      <c r="AG169" s="9"/>
      <c r="AH169" s="9" t="s">
        <v>77</v>
      </c>
      <c r="AI169" s="9">
        <v>100</v>
      </c>
      <c r="AJ169" s="9">
        <v>100</v>
      </c>
      <c r="AK169" s="9" t="s">
        <v>780</v>
      </c>
      <c r="AL169" s="9">
        <v>18</v>
      </c>
      <c r="AM169" s="9"/>
      <c r="AN169" s="9" t="s">
        <v>210</v>
      </c>
      <c r="AO169" s="9" t="s">
        <v>464</v>
      </c>
      <c r="AP169" s="9" t="s">
        <v>465</v>
      </c>
      <c r="AQ169" s="9"/>
      <c r="AR169" s="9" t="s">
        <v>466</v>
      </c>
      <c r="AS169" s="9"/>
      <c r="AT169" s="9" t="s">
        <v>69</v>
      </c>
      <c r="AU169" s="9"/>
      <c r="AV169" s="9">
        <v>19</v>
      </c>
    </row>
    <row r="170" spans="1:48">
      <c r="A170" s="9">
        <f t="shared" si="2"/>
        <v>169</v>
      </c>
      <c r="B170" s="9" t="s">
        <v>776</v>
      </c>
      <c r="C170" s="9" t="s">
        <v>781</v>
      </c>
      <c r="D170" s="9">
        <v>0</v>
      </c>
      <c r="E170" s="9">
        <v>0</v>
      </c>
      <c r="F170" s="9" t="s">
        <v>50</v>
      </c>
      <c r="G170" s="9" t="s">
        <v>459</v>
      </c>
      <c r="H170" s="9"/>
      <c r="I170" s="9" t="s">
        <v>460</v>
      </c>
      <c r="J170" s="9" t="s">
        <v>437</v>
      </c>
      <c r="K170" s="9" t="s">
        <v>461</v>
      </c>
      <c r="L170" s="9"/>
      <c r="M170" s="9" t="s">
        <v>56</v>
      </c>
      <c r="N170" s="9" t="s">
        <v>462</v>
      </c>
      <c r="O170" s="9">
        <v>10</v>
      </c>
      <c r="P170" s="9" t="s">
        <v>58</v>
      </c>
      <c r="Q170" s="9">
        <v>530</v>
      </c>
      <c r="R170" s="9">
        <v>26</v>
      </c>
      <c r="S170" s="9"/>
      <c r="T170" s="9">
        <v>30</v>
      </c>
      <c r="U170" s="9">
        <v>1</v>
      </c>
      <c r="V170" s="9">
        <v>0</v>
      </c>
      <c r="W170" s="9">
        <v>1</v>
      </c>
      <c r="X170" s="9">
        <v>100</v>
      </c>
      <c r="Y170" s="9">
        <v>63.638439</v>
      </c>
      <c r="Z170" s="9">
        <v>1.5</v>
      </c>
      <c r="AA170" s="9">
        <v>512</v>
      </c>
      <c r="AB170" s="9">
        <v>384</v>
      </c>
      <c r="AC170" s="9" t="s">
        <v>127</v>
      </c>
      <c r="AD170" s="9">
        <v>3</v>
      </c>
      <c r="AE170" s="9">
        <v>3.9</v>
      </c>
      <c r="AF170" s="9" t="s">
        <v>166</v>
      </c>
      <c r="AG170" s="9"/>
      <c r="AH170" s="9" t="s">
        <v>77</v>
      </c>
      <c r="AI170" s="9">
        <v>100</v>
      </c>
      <c r="AJ170" s="9">
        <v>75</v>
      </c>
      <c r="AK170" s="9" t="s">
        <v>778</v>
      </c>
      <c r="AL170" s="9">
        <v>12</v>
      </c>
      <c r="AM170" s="9"/>
      <c r="AN170" s="9" t="s">
        <v>210</v>
      </c>
      <c r="AO170" s="9" t="s">
        <v>464</v>
      </c>
      <c r="AP170" s="9" t="s">
        <v>465</v>
      </c>
      <c r="AQ170" s="9"/>
      <c r="AR170" s="9" t="s">
        <v>466</v>
      </c>
      <c r="AS170" s="9"/>
      <c r="AT170" s="9" t="s">
        <v>69</v>
      </c>
      <c r="AU170" s="9"/>
      <c r="AV170" s="9">
        <v>23</v>
      </c>
    </row>
    <row r="171" spans="1:48">
      <c r="A171" s="9">
        <f t="shared" si="2"/>
        <v>170</v>
      </c>
      <c r="B171" s="9" t="s">
        <v>776</v>
      </c>
      <c r="C171" s="9" t="s">
        <v>782</v>
      </c>
      <c r="D171" s="9">
        <v>1</v>
      </c>
      <c r="E171" s="9">
        <v>1</v>
      </c>
      <c r="F171" s="9" t="s">
        <v>91</v>
      </c>
      <c r="G171" s="9" t="s">
        <v>468</v>
      </c>
      <c r="H171" s="9"/>
      <c r="I171" s="9" t="s">
        <v>342</v>
      </c>
      <c r="J171" s="9" t="s">
        <v>53</v>
      </c>
      <c r="K171" s="9" t="s">
        <v>206</v>
      </c>
      <c r="L171" s="9" t="s">
        <v>113</v>
      </c>
      <c r="M171" s="9" t="s">
        <v>56</v>
      </c>
      <c r="N171" s="9" t="s">
        <v>462</v>
      </c>
      <c r="O171" s="9">
        <v>6</v>
      </c>
      <c r="P171" s="9" t="s">
        <v>58</v>
      </c>
      <c r="Q171" s="9">
        <v>4000</v>
      </c>
      <c r="R171" s="9">
        <v>14</v>
      </c>
      <c r="S171" s="9"/>
      <c r="T171" s="9">
        <v>150</v>
      </c>
      <c r="U171" s="9">
        <v>9</v>
      </c>
      <c r="V171" s="9">
        <v>0</v>
      </c>
      <c r="W171" s="9">
        <v>1</v>
      </c>
      <c r="X171" s="9">
        <v>130</v>
      </c>
      <c r="Y171" s="9">
        <v>63.638452</v>
      </c>
      <c r="Z171" s="9">
        <v>1.5</v>
      </c>
      <c r="AA171" s="9">
        <v>384</v>
      </c>
      <c r="AB171" s="9">
        <v>384</v>
      </c>
      <c r="AC171" s="9" t="s">
        <v>783</v>
      </c>
      <c r="AD171" s="9">
        <v>4</v>
      </c>
      <c r="AE171" s="9">
        <v>5.2</v>
      </c>
      <c r="AF171" s="9" t="s">
        <v>470</v>
      </c>
      <c r="AG171" s="9"/>
      <c r="AH171" s="9" t="s">
        <v>77</v>
      </c>
      <c r="AI171" s="9">
        <v>100</v>
      </c>
      <c r="AJ171" s="9">
        <v>100</v>
      </c>
      <c r="AK171" s="9" t="s">
        <v>784</v>
      </c>
      <c r="AL171" s="9">
        <v>21</v>
      </c>
      <c r="AM171" s="9"/>
      <c r="AN171" s="9" t="s">
        <v>210</v>
      </c>
      <c r="AO171" s="9" t="s">
        <v>464</v>
      </c>
      <c r="AP171" s="9" t="s">
        <v>465</v>
      </c>
      <c r="AQ171" s="9"/>
      <c r="AR171" s="9" t="s">
        <v>466</v>
      </c>
      <c r="AS171" s="9"/>
      <c r="AT171" s="9" t="s">
        <v>69</v>
      </c>
      <c r="AU171" s="9"/>
      <c r="AV171" s="9">
        <v>25</v>
      </c>
    </row>
    <row r="172" spans="1:48">
      <c r="A172" s="9">
        <f t="shared" si="2"/>
        <v>171</v>
      </c>
      <c r="B172" s="9" t="s">
        <v>776</v>
      </c>
      <c r="C172" s="9" t="s">
        <v>785</v>
      </c>
      <c r="D172" s="9">
        <v>0</v>
      </c>
      <c r="E172" s="9">
        <v>0</v>
      </c>
      <c r="F172" s="9" t="s">
        <v>72</v>
      </c>
      <c r="G172" s="9" t="s">
        <v>265</v>
      </c>
      <c r="H172" s="9"/>
      <c r="I172" s="9" t="s">
        <v>266</v>
      </c>
      <c r="J172" s="9" t="s">
        <v>53</v>
      </c>
      <c r="K172" s="9" t="s">
        <v>267</v>
      </c>
      <c r="L172" s="9"/>
      <c r="M172" s="9" t="s">
        <v>56</v>
      </c>
      <c r="N172" s="9" t="s">
        <v>462</v>
      </c>
      <c r="O172" s="9">
        <v>11</v>
      </c>
      <c r="P172" s="9" t="s">
        <v>58</v>
      </c>
      <c r="Q172" s="9">
        <v>494</v>
      </c>
      <c r="R172" s="9">
        <v>14</v>
      </c>
      <c r="S172" s="9"/>
      <c r="T172" s="9">
        <v>90</v>
      </c>
      <c r="U172" s="9">
        <v>1</v>
      </c>
      <c r="V172" s="9">
        <v>0</v>
      </c>
      <c r="W172" s="9">
        <v>1</v>
      </c>
      <c r="X172" s="9">
        <v>90</v>
      </c>
      <c r="Y172" s="9">
        <v>63.640748</v>
      </c>
      <c r="Z172" s="9">
        <v>1.5</v>
      </c>
      <c r="AA172" s="9">
        <v>640</v>
      </c>
      <c r="AB172" s="9">
        <v>512</v>
      </c>
      <c r="AC172" s="9" t="s">
        <v>100</v>
      </c>
      <c r="AD172" s="9">
        <v>4</v>
      </c>
      <c r="AE172" s="9">
        <v>4.8</v>
      </c>
      <c r="AF172" s="9" t="s">
        <v>786</v>
      </c>
      <c r="AG172" s="9"/>
      <c r="AH172" s="9" t="s">
        <v>77</v>
      </c>
      <c r="AI172" s="9">
        <v>70</v>
      </c>
      <c r="AJ172" s="9">
        <v>80</v>
      </c>
      <c r="AK172" s="9" t="s">
        <v>780</v>
      </c>
      <c r="AL172" s="9">
        <v>10</v>
      </c>
      <c r="AM172" s="9"/>
      <c r="AN172" s="9" t="s">
        <v>210</v>
      </c>
      <c r="AO172" s="9" t="s">
        <v>464</v>
      </c>
      <c r="AP172" s="9" t="s">
        <v>465</v>
      </c>
      <c r="AQ172" s="9"/>
      <c r="AR172" s="9" t="s">
        <v>466</v>
      </c>
      <c r="AS172" s="9"/>
      <c r="AT172" s="9" t="s">
        <v>69</v>
      </c>
      <c r="AU172" s="9"/>
      <c r="AV172" s="9">
        <v>20</v>
      </c>
    </row>
    <row r="173" spans="1:48">
      <c r="A173" s="9">
        <f t="shared" si="2"/>
        <v>172</v>
      </c>
      <c r="B173" s="9" t="s">
        <v>787</v>
      </c>
      <c r="C173" s="9" t="s">
        <v>788</v>
      </c>
      <c r="D173" s="9">
        <v>1</v>
      </c>
      <c r="E173" s="9">
        <v>1</v>
      </c>
      <c r="F173" s="9" t="s">
        <v>91</v>
      </c>
      <c r="G173" s="9" t="s">
        <v>789</v>
      </c>
      <c r="H173" s="9"/>
      <c r="I173" s="9"/>
      <c r="J173" s="9"/>
      <c r="K173" s="9"/>
      <c r="L173" s="9"/>
      <c r="M173" s="9"/>
      <c r="N173" s="9" t="s">
        <v>145</v>
      </c>
      <c r="O173" s="9">
        <v>8</v>
      </c>
      <c r="P173" s="9" t="s">
        <v>58</v>
      </c>
      <c r="Q173" s="9"/>
      <c r="R173" s="9"/>
      <c r="S173" s="9"/>
      <c r="T173" s="9"/>
      <c r="U173" s="9"/>
      <c r="V173" s="9"/>
      <c r="W173" s="9"/>
      <c r="X173" s="9"/>
      <c r="Y173" s="9"/>
      <c r="Z173" s="9"/>
      <c r="AA173" s="9">
        <v>512</v>
      </c>
      <c r="AB173" s="9">
        <v>512</v>
      </c>
      <c r="AC173" s="9" t="s">
        <v>507</v>
      </c>
      <c r="AD173" s="9">
        <v>4</v>
      </c>
      <c r="AE173" s="9"/>
      <c r="AF173" s="9"/>
      <c r="AG173" s="9"/>
      <c r="AH173" s="9"/>
      <c r="AI173" s="9"/>
      <c r="AJ173" s="9"/>
      <c r="AK173" s="9" t="s">
        <v>790</v>
      </c>
      <c r="AL173" s="9">
        <v>1</v>
      </c>
      <c r="AM173" s="9"/>
      <c r="AN173" s="9" t="s">
        <v>149</v>
      </c>
      <c r="AO173" s="9" t="s">
        <v>150</v>
      </c>
      <c r="AP173" s="9"/>
      <c r="AQ173" s="9"/>
      <c r="AR173" s="9"/>
      <c r="AS173" s="9" t="s">
        <v>302</v>
      </c>
      <c r="AT173" s="9"/>
      <c r="AU173" s="9"/>
      <c r="AV173" s="9">
        <v>22</v>
      </c>
    </row>
    <row r="174" spans="1:48">
      <c r="A174" s="9">
        <f t="shared" si="2"/>
        <v>173</v>
      </c>
      <c r="B174" s="9" t="s">
        <v>787</v>
      </c>
      <c r="C174" s="9" t="s">
        <v>791</v>
      </c>
      <c r="D174" s="9">
        <v>1</v>
      </c>
      <c r="E174" s="9">
        <v>1</v>
      </c>
      <c r="F174" s="9" t="s">
        <v>50</v>
      </c>
      <c r="G174" s="9" t="s">
        <v>200</v>
      </c>
      <c r="H174" s="9"/>
      <c r="I174" s="9"/>
      <c r="J174" s="9"/>
      <c r="K174" s="9"/>
      <c r="L174" s="9"/>
      <c r="M174" s="9"/>
      <c r="N174" s="9" t="s">
        <v>145</v>
      </c>
      <c r="O174" s="9">
        <v>4</v>
      </c>
      <c r="P174" s="9" t="s">
        <v>58</v>
      </c>
      <c r="Q174" s="9"/>
      <c r="R174" s="9"/>
      <c r="S174" s="9"/>
      <c r="T174" s="9"/>
      <c r="U174" s="9"/>
      <c r="V174" s="9"/>
      <c r="W174" s="9"/>
      <c r="X174" s="9"/>
      <c r="Y174" s="9"/>
      <c r="Z174" s="9"/>
      <c r="AA174" s="9">
        <v>512</v>
      </c>
      <c r="AB174" s="9">
        <v>512</v>
      </c>
      <c r="AC174" s="9" t="s">
        <v>507</v>
      </c>
      <c r="AD174" s="9">
        <v>4</v>
      </c>
      <c r="AE174" s="9"/>
      <c r="AF174" s="9"/>
      <c r="AG174" s="9"/>
      <c r="AH174" s="9"/>
      <c r="AI174" s="9"/>
      <c r="AJ174" s="9"/>
      <c r="AK174" s="9" t="s">
        <v>792</v>
      </c>
      <c r="AL174" s="9">
        <v>13</v>
      </c>
      <c r="AM174" s="9"/>
      <c r="AN174" s="9" t="s">
        <v>149</v>
      </c>
      <c r="AO174" s="9" t="s">
        <v>150</v>
      </c>
      <c r="AP174" s="9"/>
      <c r="AQ174" s="9"/>
      <c r="AR174" s="9"/>
      <c r="AS174" s="9" t="s">
        <v>302</v>
      </c>
      <c r="AT174" s="9"/>
      <c r="AU174" s="9"/>
      <c r="AV174" s="9">
        <v>21</v>
      </c>
    </row>
    <row r="175" spans="1:48">
      <c r="A175" s="9">
        <f t="shared" si="2"/>
        <v>174</v>
      </c>
      <c r="B175" s="9" t="s">
        <v>787</v>
      </c>
      <c r="C175" s="9" t="s">
        <v>793</v>
      </c>
      <c r="D175" s="9">
        <v>1</v>
      </c>
      <c r="E175" s="9">
        <v>1</v>
      </c>
      <c r="F175" s="9" t="s">
        <v>72</v>
      </c>
      <c r="G175" s="9" t="s">
        <v>516</v>
      </c>
      <c r="H175" s="9"/>
      <c r="I175" s="9"/>
      <c r="J175" s="9"/>
      <c r="K175" s="9"/>
      <c r="L175" s="9"/>
      <c r="M175" s="9"/>
      <c r="N175" s="9" t="s">
        <v>145</v>
      </c>
      <c r="O175" s="9">
        <v>7</v>
      </c>
      <c r="P175" s="9" t="s">
        <v>58</v>
      </c>
      <c r="Q175" s="9"/>
      <c r="R175" s="9"/>
      <c r="S175" s="9"/>
      <c r="T175" s="9"/>
      <c r="U175" s="9"/>
      <c r="V175" s="9"/>
      <c r="W175" s="9"/>
      <c r="X175" s="9"/>
      <c r="Y175" s="9"/>
      <c r="Z175" s="9"/>
      <c r="AA175" s="9">
        <v>512</v>
      </c>
      <c r="AB175" s="9">
        <v>512</v>
      </c>
      <c r="AC175" s="9" t="s">
        <v>308</v>
      </c>
      <c r="AD175" s="9">
        <v>4</v>
      </c>
      <c r="AE175" s="9"/>
      <c r="AF175" s="9"/>
      <c r="AG175" s="9"/>
      <c r="AH175" s="9"/>
      <c r="AI175" s="9"/>
      <c r="AJ175" s="9"/>
      <c r="AK175" s="9" t="s">
        <v>794</v>
      </c>
      <c r="AL175" s="9">
        <v>15</v>
      </c>
      <c r="AM175" s="9"/>
      <c r="AN175" s="9" t="s">
        <v>149</v>
      </c>
      <c r="AO175" s="9" t="s">
        <v>150</v>
      </c>
      <c r="AP175" s="9"/>
      <c r="AQ175" s="9"/>
      <c r="AR175" s="9"/>
      <c r="AS175" s="9" t="s">
        <v>302</v>
      </c>
      <c r="AT175" s="9"/>
      <c r="AU175" s="9"/>
      <c r="AV175" s="9">
        <v>20</v>
      </c>
    </row>
    <row r="176" spans="1:48">
      <c r="A176" s="9">
        <f t="shared" si="2"/>
        <v>175</v>
      </c>
      <c r="B176" s="9" t="s">
        <v>787</v>
      </c>
      <c r="C176" s="9" t="s">
        <v>795</v>
      </c>
      <c r="D176" s="9">
        <v>0</v>
      </c>
      <c r="E176" s="9">
        <v>0</v>
      </c>
      <c r="F176" s="9" t="s">
        <v>50</v>
      </c>
      <c r="G176" s="9" t="s">
        <v>197</v>
      </c>
      <c r="H176" s="9"/>
      <c r="I176" s="9"/>
      <c r="J176" s="9"/>
      <c r="K176" s="9"/>
      <c r="L176" s="9"/>
      <c r="M176" s="9"/>
      <c r="N176" s="9" t="s">
        <v>145</v>
      </c>
      <c r="O176" s="9">
        <v>6</v>
      </c>
      <c r="P176" s="9" t="s">
        <v>58</v>
      </c>
      <c r="Q176" s="9"/>
      <c r="R176" s="9"/>
      <c r="S176" s="9"/>
      <c r="T176" s="9"/>
      <c r="U176" s="9"/>
      <c r="V176" s="9"/>
      <c r="W176" s="9"/>
      <c r="X176" s="9"/>
      <c r="Y176" s="9"/>
      <c r="Z176" s="9"/>
      <c r="AA176" s="9">
        <v>512</v>
      </c>
      <c r="AB176" s="9">
        <v>512</v>
      </c>
      <c r="AC176" s="9" t="s">
        <v>507</v>
      </c>
      <c r="AD176" s="9">
        <v>4</v>
      </c>
      <c r="AE176" s="9"/>
      <c r="AF176" s="9"/>
      <c r="AG176" s="9"/>
      <c r="AH176" s="9"/>
      <c r="AI176" s="9"/>
      <c r="AJ176" s="9"/>
      <c r="AK176" s="9" t="s">
        <v>796</v>
      </c>
      <c r="AL176" s="9">
        <v>8</v>
      </c>
      <c r="AM176" s="9"/>
      <c r="AN176" s="9" t="s">
        <v>149</v>
      </c>
      <c r="AO176" s="9" t="s">
        <v>150</v>
      </c>
      <c r="AP176" s="9"/>
      <c r="AQ176" s="9"/>
      <c r="AR176" s="9"/>
      <c r="AS176" s="9" t="s">
        <v>302</v>
      </c>
      <c r="AT176" s="9"/>
      <c r="AU176" s="9"/>
      <c r="AV176" s="9">
        <v>21</v>
      </c>
    </row>
    <row r="177" spans="1:48">
      <c r="A177" s="9">
        <f t="shared" si="2"/>
        <v>176</v>
      </c>
      <c r="B177" s="9" t="s">
        <v>787</v>
      </c>
      <c r="C177" s="9" t="s">
        <v>797</v>
      </c>
      <c r="D177" s="9">
        <v>1</v>
      </c>
      <c r="E177" s="9">
        <v>1</v>
      </c>
      <c r="F177" s="9" t="s">
        <v>50</v>
      </c>
      <c r="G177" s="9" t="s">
        <v>185</v>
      </c>
      <c r="H177" s="9"/>
      <c r="I177" s="9"/>
      <c r="J177" s="9"/>
      <c r="K177" s="9"/>
      <c r="L177" s="9"/>
      <c r="M177" s="9"/>
      <c r="N177" s="9" t="s">
        <v>145</v>
      </c>
      <c r="O177" s="9">
        <v>5</v>
      </c>
      <c r="P177" s="9" t="s">
        <v>58</v>
      </c>
      <c r="Q177" s="9"/>
      <c r="R177" s="9"/>
      <c r="S177" s="9"/>
      <c r="T177" s="9"/>
      <c r="U177" s="9"/>
      <c r="V177" s="9"/>
      <c r="W177" s="9"/>
      <c r="X177" s="9"/>
      <c r="Y177" s="9"/>
      <c r="Z177" s="9"/>
      <c r="AA177" s="9">
        <v>512</v>
      </c>
      <c r="AB177" s="9">
        <v>512</v>
      </c>
      <c r="AC177" s="9" t="s">
        <v>507</v>
      </c>
      <c r="AD177" s="9">
        <v>4</v>
      </c>
      <c r="AE177" s="9"/>
      <c r="AF177" s="9"/>
      <c r="AG177" s="9"/>
      <c r="AH177" s="9"/>
      <c r="AI177" s="9"/>
      <c r="AJ177" s="9"/>
      <c r="AK177" s="9" t="s">
        <v>798</v>
      </c>
      <c r="AL177" s="9">
        <v>18</v>
      </c>
      <c r="AM177" s="9"/>
      <c r="AN177" s="9" t="s">
        <v>149</v>
      </c>
      <c r="AO177" s="9" t="s">
        <v>150</v>
      </c>
      <c r="AP177" s="9"/>
      <c r="AQ177" s="9"/>
      <c r="AR177" s="9"/>
      <c r="AS177" s="9" t="s">
        <v>302</v>
      </c>
      <c r="AT177" s="9"/>
      <c r="AU177" s="9"/>
      <c r="AV177" s="9">
        <v>21</v>
      </c>
    </row>
    <row r="178" spans="1:48">
      <c r="A178" s="9">
        <f t="shared" si="2"/>
        <v>177</v>
      </c>
      <c r="B178" s="9" t="s">
        <v>799</v>
      </c>
      <c r="C178" s="9" t="s">
        <v>800</v>
      </c>
      <c r="D178" s="9">
        <v>1</v>
      </c>
      <c r="E178" s="9">
        <v>1</v>
      </c>
      <c r="F178" s="9" t="s">
        <v>72</v>
      </c>
      <c r="G178" s="9" t="s">
        <v>801</v>
      </c>
      <c r="H178" s="9"/>
      <c r="I178" s="9" t="s">
        <v>802</v>
      </c>
      <c r="J178" s="9" t="s">
        <v>53</v>
      </c>
      <c r="K178" s="9" t="s">
        <v>54</v>
      </c>
      <c r="L178" s="9" t="s">
        <v>803</v>
      </c>
      <c r="M178" s="9" t="s">
        <v>56</v>
      </c>
      <c r="N178" s="9" t="s">
        <v>344</v>
      </c>
      <c r="O178" s="9">
        <v>11</v>
      </c>
      <c r="P178" s="9" t="s">
        <v>58</v>
      </c>
      <c r="Q178" s="9">
        <v>3400</v>
      </c>
      <c r="R178" s="9">
        <v>25</v>
      </c>
      <c r="S178" s="9"/>
      <c r="T178" s="9">
        <v>180</v>
      </c>
      <c r="U178" s="9">
        <v>5</v>
      </c>
      <c r="V178" s="9">
        <v>1</v>
      </c>
      <c r="W178" s="9">
        <v>1</v>
      </c>
      <c r="X178" s="9">
        <v>171</v>
      </c>
      <c r="Y178" s="9">
        <v>123.218842</v>
      </c>
      <c r="Z178" s="9">
        <v>3</v>
      </c>
      <c r="AA178" s="9">
        <v>384</v>
      </c>
      <c r="AB178" s="9">
        <v>348</v>
      </c>
      <c r="AC178" s="9" t="s">
        <v>345</v>
      </c>
      <c r="AD178" s="9">
        <v>3</v>
      </c>
      <c r="AE178" s="9">
        <v>3.3</v>
      </c>
      <c r="AF178" s="9" t="s">
        <v>804</v>
      </c>
      <c r="AG178" s="9"/>
      <c r="AH178" s="9" t="s">
        <v>77</v>
      </c>
      <c r="AI178" s="9">
        <v>90</v>
      </c>
      <c r="AJ178" s="9">
        <v>90.625</v>
      </c>
      <c r="AK178" s="9" t="s">
        <v>805</v>
      </c>
      <c r="AL178" s="9">
        <v>1</v>
      </c>
      <c r="AM178" s="9">
        <v>1</v>
      </c>
      <c r="AN178" s="9" t="s">
        <v>63</v>
      </c>
      <c r="AO178" s="9" t="s">
        <v>527</v>
      </c>
      <c r="AP178" s="9" t="s">
        <v>349</v>
      </c>
      <c r="AQ178" s="9" t="s">
        <v>528</v>
      </c>
      <c r="AR178" s="9" t="s">
        <v>528</v>
      </c>
      <c r="AS178" s="9" t="s">
        <v>68</v>
      </c>
      <c r="AT178" s="9" t="s">
        <v>69</v>
      </c>
      <c r="AU178" s="9" t="s">
        <v>214</v>
      </c>
      <c r="AV178" s="9">
        <v>32</v>
      </c>
    </row>
    <row r="179" spans="1:48">
      <c r="A179" s="9">
        <f t="shared" si="2"/>
        <v>178</v>
      </c>
      <c r="B179" s="9" t="s">
        <v>799</v>
      </c>
      <c r="C179" s="9" t="s">
        <v>806</v>
      </c>
      <c r="D179" s="9">
        <v>1</v>
      </c>
      <c r="E179" s="9">
        <v>1</v>
      </c>
      <c r="F179" s="9" t="s">
        <v>50</v>
      </c>
      <c r="G179" s="9" t="s">
        <v>807</v>
      </c>
      <c r="H179" s="9"/>
      <c r="I179" s="9" t="s">
        <v>808</v>
      </c>
      <c r="J179" s="9" t="s">
        <v>53</v>
      </c>
      <c r="K179" s="9" t="s">
        <v>54</v>
      </c>
      <c r="L179" s="9" t="s">
        <v>82</v>
      </c>
      <c r="M179" s="9" t="s">
        <v>56</v>
      </c>
      <c r="N179" s="9" t="s">
        <v>344</v>
      </c>
      <c r="O179" s="9">
        <v>9</v>
      </c>
      <c r="P179" s="9" t="s">
        <v>58</v>
      </c>
      <c r="Q179" s="9">
        <v>3410</v>
      </c>
      <c r="R179" s="9">
        <v>44</v>
      </c>
      <c r="S179" s="9"/>
      <c r="T179" s="9">
        <v>180</v>
      </c>
      <c r="U179" s="9">
        <v>7</v>
      </c>
      <c r="V179" s="9">
        <v>1</v>
      </c>
      <c r="W179" s="9">
        <v>1</v>
      </c>
      <c r="X179" s="9">
        <v>200</v>
      </c>
      <c r="Y179" s="9">
        <v>123.218838</v>
      </c>
      <c r="Z179" s="9">
        <v>3</v>
      </c>
      <c r="AA179" s="9">
        <v>384</v>
      </c>
      <c r="AB179" s="9">
        <v>384</v>
      </c>
      <c r="AC179" s="9" t="s">
        <v>345</v>
      </c>
      <c r="AD179" s="9">
        <v>3</v>
      </c>
      <c r="AE179" s="9">
        <v>3.3</v>
      </c>
      <c r="AF179" s="9" t="s">
        <v>809</v>
      </c>
      <c r="AG179" s="9"/>
      <c r="AH179" s="9" t="s">
        <v>61</v>
      </c>
      <c r="AI179" s="9">
        <v>60</v>
      </c>
      <c r="AJ179" s="9">
        <v>100</v>
      </c>
      <c r="AK179" s="9" t="s">
        <v>810</v>
      </c>
      <c r="AL179" s="9">
        <v>31</v>
      </c>
      <c r="AM179" s="9">
        <v>1</v>
      </c>
      <c r="AN179" s="9" t="s">
        <v>63</v>
      </c>
      <c r="AO179" s="9" t="s">
        <v>527</v>
      </c>
      <c r="AP179" s="9" t="s">
        <v>349</v>
      </c>
      <c r="AQ179" s="9" t="s">
        <v>528</v>
      </c>
      <c r="AR179" s="9" t="s">
        <v>528</v>
      </c>
      <c r="AS179" s="9" t="s">
        <v>68</v>
      </c>
      <c r="AT179" s="9" t="s">
        <v>69</v>
      </c>
      <c r="AU179" s="9" t="s">
        <v>214</v>
      </c>
      <c r="AV179" s="9">
        <v>33</v>
      </c>
    </row>
    <row r="180" spans="1:48">
      <c r="A180" s="9">
        <f t="shared" si="2"/>
        <v>179</v>
      </c>
      <c r="B180" s="9" t="s">
        <v>799</v>
      </c>
      <c r="C180" s="9" t="s">
        <v>811</v>
      </c>
      <c r="D180" s="9">
        <v>0</v>
      </c>
      <c r="E180" s="9">
        <v>0</v>
      </c>
      <c r="F180" s="9" t="s">
        <v>50</v>
      </c>
      <c r="G180" s="9" t="s">
        <v>812</v>
      </c>
      <c r="H180" s="9"/>
      <c r="I180" s="9" t="s">
        <v>813</v>
      </c>
      <c r="J180" s="9" t="s">
        <v>53</v>
      </c>
      <c r="K180" s="9" t="s">
        <v>54</v>
      </c>
      <c r="L180" s="9" t="s">
        <v>55</v>
      </c>
      <c r="M180" s="9" t="s">
        <v>56</v>
      </c>
      <c r="N180" s="9" t="s">
        <v>344</v>
      </c>
      <c r="O180" s="9">
        <v>10</v>
      </c>
      <c r="P180" s="9" t="s">
        <v>58</v>
      </c>
      <c r="Q180" s="9">
        <v>570</v>
      </c>
      <c r="R180" s="9">
        <v>12</v>
      </c>
      <c r="S180" s="9"/>
      <c r="T180" s="9">
        <v>180</v>
      </c>
      <c r="U180" s="9">
        <v>2</v>
      </c>
      <c r="V180" s="9">
        <v>1</v>
      </c>
      <c r="W180" s="9">
        <v>1</v>
      </c>
      <c r="X180" s="9">
        <v>150</v>
      </c>
      <c r="Y180" s="9">
        <v>123.218872</v>
      </c>
      <c r="Z180" s="9">
        <v>3</v>
      </c>
      <c r="AA180" s="9">
        <v>384</v>
      </c>
      <c r="AB180" s="9">
        <v>384</v>
      </c>
      <c r="AC180" s="9" t="s">
        <v>345</v>
      </c>
      <c r="AD180" s="9">
        <v>3</v>
      </c>
      <c r="AE180" s="9">
        <v>3.3</v>
      </c>
      <c r="AF180" s="9" t="s">
        <v>76</v>
      </c>
      <c r="AG180" s="9"/>
      <c r="AH180" s="9" t="s">
        <v>77</v>
      </c>
      <c r="AI180" s="9">
        <v>80</v>
      </c>
      <c r="AJ180" s="9">
        <v>100</v>
      </c>
      <c r="AK180" s="9" t="s">
        <v>814</v>
      </c>
      <c r="AL180" s="9">
        <v>14</v>
      </c>
      <c r="AM180" s="9">
        <v>1</v>
      </c>
      <c r="AN180" s="9" t="s">
        <v>63</v>
      </c>
      <c r="AO180" s="9" t="s">
        <v>527</v>
      </c>
      <c r="AP180" s="9" t="s">
        <v>349</v>
      </c>
      <c r="AQ180" s="9" t="s">
        <v>528</v>
      </c>
      <c r="AR180" s="9" t="s">
        <v>528</v>
      </c>
      <c r="AS180" s="9" t="s">
        <v>68</v>
      </c>
      <c r="AT180" s="9" t="s">
        <v>69</v>
      </c>
      <c r="AU180" s="9" t="s">
        <v>214</v>
      </c>
      <c r="AV180" s="9">
        <v>33</v>
      </c>
    </row>
    <row r="181" spans="1:48">
      <c r="A181" s="9">
        <f t="shared" si="2"/>
        <v>180</v>
      </c>
      <c r="B181" s="9" t="s">
        <v>799</v>
      </c>
      <c r="C181" s="9" t="s">
        <v>815</v>
      </c>
      <c r="D181" s="9">
        <v>0</v>
      </c>
      <c r="E181" s="9">
        <v>0</v>
      </c>
      <c r="F181" s="9" t="s">
        <v>72</v>
      </c>
      <c r="G181" s="9" t="s">
        <v>816</v>
      </c>
      <c r="H181" s="9"/>
      <c r="I181" s="9" t="s">
        <v>808</v>
      </c>
      <c r="J181" s="9" t="s">
        <v>53</v>
      </c>
      <c r="K181" s="9" t="s">
        <v>54</v>
      </c>
      <c r="L181" s="9" t="s">
        <v>55</v>
      </c>
      <c r="M181" s="9" t="s">
        <v>56</v>
      </c>
      <c r="N181" s="9" t="s">
        <v>344</v>
      </c>
      <c r="O181" s="9">
        <v>12</v>
      </c>
      <c r="P181" s="9" t="s">
        <v>58</v>
      </c>
      <c r="Q181" s="9">
        <v>2770</v>
      </c>
      <c r="R181" s="9">
        <v>44</v>
      </c>
      <c r="S181" s="9"/>
      <c r="T181" s="9">
        <v>180</v>
      </c>
      <c r="U181" s="9">
        <v>7</v>
      </c>
      <c r="V181" s="9">
        <v>1</v>
      </c>
      <c r="W181" s="9">
        <v>1</v>
      </c>
      <c r="X181" s="9">
        <v>200</v>
      </c>
      <c r="Y181" s="9">
        <v>123.218846</v>
      </c>
      <c r="Z181" s="9">
        <v>3</v>
      </c>
      <c r="AA181" s="9">
        <v>384</v>
      </c>
      <c r="AB181" s="9">
        <v>384</v>
      </c>
      <c r="AC181" s="9" t="s">
        <v>345</v>
      </c>
      <c r="AD181" s="9">
        <v>3</v>
      </c>
      <c r="AE181" s="9">
        <v>3.3</v>
      </c>
      <c r="AF181" s="9" t="s">
        <v>817</v>
      </c>
      <c r="AG181" s="9"/>
      <c r="AH181" s="9" t="s">
        <v>77</v>
      </c>
      <c r="AI181" s="9">
        <v>60</v>
      </c>
      <c r="AJ181" s="9">
        <v>100</v>
      </c>
      <c r="AK181" s="9" t="s">
        <v>805</v>
      </c>
      <c r="AL181" s="9">
        <v>4</v>
      </c>
      <c r="AM181" s="9">
        <v>1</v>
      </c>
      <c r="AN181" s="9" t="s">
        <v>63</v>
      </c>
      <c r="AO181" s="9" t="s">
        <v>527</v>
      </c>
      <c r="AP181" s="9" t="s">
        <v>349</v>
      </c>
      <c r="AQ181" s="9" t="s">
        <v>528</v>
      </c>
      <c r="AR181" s="9" t="s">
        <v>528</v>
      </c>
      <c r="AS181" s="9" t="s">
        <v>68</v>
      </c>
      <c r="AT181" s="9" t="s">
        <v>69</v>
      </c>
      <c r="AU181" s="9" t="s">
        <v>214</v>
      </c>
      <c r="AV181" s="9">
        <v>32</v>
      </c>
    </row>
    <row r="182" spans="1:48">
      <c r="A182" s="9">
        <f t="shared" si="2"/>
        <v>181</v>
      </c>
      <c r="B182" s="9" t="s">
        <v>799</v>
      </c>
      <c r="C182" s="9" t="s">
        <v>818</v>
      </c>
      <c r="D182" s="9">
        <v>1</v>
      </c>
      <c r="E182" s="9">
        <v>1</v>
      </c>
      <c r="F182" s="9" t="s">
        <v>91</v>
      </c>
      <c r="G182" s="9" t="s">
        <v>276</v>
      </c>
      <c r="H182" s="9"/>
      <c r="I182" s="9" t="s">
        <v>802</v>
      </c>
      <c r="J182" s="9" t="s">
        <v>53</v>
      </c>
      <c r="K182" s="9" t="s">
        <v>54</v>
      </c>
      <c r="L182" s="9" t="s">
        <v>82</v>
      </c>
      <c r="M182" s="9" t="s">
        <v>56</v>
      </c>
      <c r="N182" s="9" t="s">
        <v>344</v>
      </c>
      <c r="O182" s="9">
        <v>13</v>
      </c>
      <c r="P182" s="9" t="s">
        <v>58</v>
      </c>
      <c r="Q182" s="9">
        <v>4340</v>
      </c>
      <c r="R182" s="9">
        <v>36</v>
      </c>
      <c r="S182" s="9"/>
      <c r="T182" s="9">
        <v>180</v>
      </c>
      <c r="U182" s="9">
        <v>7</v>
      </c>
      <c r="V182" s="9">
        <v>1</v>
      </c>
      <c r="W182" s="9">
        <v>1</v>
      </c>
      <c r="X182" s="9">
        <v>150</v>
      </c>
      <c r="Y182" s="9">
        <v>123.218829</v>
      </c>
      <c r="Z182" s="9">
        <v>3</v>
      </c>
      <c r="AA182" s="9">
        <v>320</v>
      </c>
      <c r="AB182" s="9">
        <v>300</v>
      </c>
      <c r="AC182" s="9" t="s">
        <v>819</v>
      </c>
      <c r="AD182" s="9">
        <v>3</v>
      </c>
      <c r="AE182" s="9">
        <v>3.3</v>
      </c>
      <c r="AF182" s="9" t="s">
        <v>820</v>
      </c>
      <c r="AG182" s="9"/>
      <c r="AH182" s="9" t="s">
        <v>77</v>
      </c>
      <c r="AI182" s="9">
        <v>70</v>
      </c>
      <c r="AJ182" s="9">
        <v>93.75</v>
      </c>
      <c r="AK182" s="9" t="s">
        <v>821</v>
      </c>
      <c r="AL182" s="9">
        <v>20</v>
      </c>
      <c r="AM182" s="9">
        <v>1</v>
      </c>
      <c r="AN182" s="9" t="s">
        <v>63</v>
      </c>
      <c r="AO182" s="9" t="s">
        <v>527</v>
      </c>
      <c r="AP182" s="9" t="s">
        <v>349</v>
      </c>
      <c r="AQ182" s="9" t="s">
        <v>528</v>
      </c>
      <c r="AR182" s="9" t="s">
        <v>528</v>
      </c>
      <c r="AS182" s="9" t="s">
        <v>68</v>
      </c>
      <c r="AT182" s="9" t="s">
        <v>69</v>
      </c>
      <c r="AU182" s="9" t="s">
        <v>214</v>
      </c>
      <c r="AV182" s="9">
        <v>36</v>
      </c>
    </row>
    <row r="183" spans="1:48">
      <c r="A183" s="9">
        <f t="shared" si="2"/>
        <v>182</v>
      </c>
      <c r="B183" s="9" t="s">
        <v>799</v>
      </c>
      <c r="C183" s="9" t="s">
        <v>822</v>
      </c>
      <c r="D183" s="9">
        <v>0</v>
      </c>
      <c r="E183" s="9">
        <v>0</v>
      </c>
      <c r="F183" s="9" t="s">
        <v>72</v>
      </c>
      <c r="G183" s="9" t="s">
        <v>823</v>
      </c>
      <c r="H183" s="9"/>
      <c r="I183" s="9" t="s">
        <v>824</v>
      </c>
      <c r="J183" s="9" t="s">
        <v>53</v>
      </c>
      <c r="K183" s="9" t="s">
        <v>54</v>
      </c>
      <c r="L183" s="9" t="s">
        <v>55</v>
      </c>
      <c r="M183" s="9" t="s">
        <v>56</v>
      </c>
      <c r="N183" s="9" t="s">
        <v>344</v>
      </c>
      <c r="O183" s="9">
        <v>14</v>
      </c>
      <c r="P183" s="9" t="s">
        <v>58</v>
      </c>
      <c r="Q183" s="9">
        <v>3000</v>
      </c>
      <c r="R183" s="9">
        <v>72</v>
      </c>
      <c r="S183" s="9"/>
      <c r="T183" s="9">
        <v>180</v>
      </c>
      <c r="U183" s="9">
        <v>15</v>
      </c>
      <c r="V183" s="9">
        <v>1</v>
      </c>
      <c r="W183" s="9">
        <v>2</v>
      </c>
      <c r="X183" s="9">
        <v>240</v>
      </c>
      <c r="Y183" s="9">
        <v>123.218872</v>
      </c>
      <c r="Z183" s="9">
        <v>3</v>
      </c>
      <c r="AA183" s="9">
        <v>416</v>
      </c>
      <c r="AB183" s="9">
        <v>416</v>
      </c>
      <c r="AC183" s="9" t="s">
        <v>825</v>
      </c>
      <c r="AD183" s="9">
        <v>3</v>
      </c>
      <c r="AE183" s="9">
        <v>3.6</v>
      </c>
      <c r="AF183" s="9" t="s">
        <v>826</v>
      </c>
      <c r="AG183" s="9"/>
      <c r="AH183" s="9" t="s">
        <v>77</v>
      </c>
      <c r="AI183" s="9">
        <v>70</v>
      </c>
      <c r="AJ183" s="9">
        <v>100</v>
      </c>
      <c r="AK183" s="9" t="s">
        <v>827</v>
      </c>
      <c r="AL183" s="9">
        <v>20</v>
      </c>
      <c r="AM183" s="9">
        <v>1</v>
      </c>
      <c r="AN183" s="9" t="s">
        <v>63</v>
      </c>
      <c r="AO183" s="9" t="s">
        <v>527</v>
      </c>
      <c r="AP183" s="9" t="s">
        <v>349</v>
      </c>
      <c r="AQ183" s="9" t="s">
        <v>528</v>
      </c>
      <c r="AR183" s="9" t="s">
        <v>528</v>
      </c>
      <c r="AS183" s="9" t="s">
        <v>68</v>
      </c>
      <c r="AT183" s="9" t="s">
        <v>69</v>
      </c>
      <c r="AU183" s="9" t="s">
        <v>214</v>
      </c>
      <c r="AV183" s="9">
        <v>25</v>
      </c>
    </row>
    <row r="184" spans="1:48">
      <c r="A184" s="9">
        <f t="shared" si="2"/>
        <v>183</v>
      </c>
      <c r="B184" s="9" t="s">
        <v>828</v>
      </c>
      <c r="C184" s="9" t="s">
        <v>829</v>
      </c>
      <c r="D184" s="9">
        <v>1</v>
      </c>
      <c r="E184" s="9">
        <v>1</v>
      </c>
      <c r="F184" s="9" t="s">
        <v>91</v>
      </c>
      <c r="G184" s="9" t="s">
        <v>276</v>
      </c>
      <c r="H184" s="9"/>
      <c r="I184" s="9" t="s">
        <v>277</v>
      </c>
      <c r="J184" s="9" t="s">
        <v>53</v>
      </c>
      <c r="K184" s="9" t="s">
        <v>206</v>
      </c>
      <c r="L184" s="9" t="s">
        <v>113</v>
      </c>
      <c r="M184" s="9" t="s">
        <v>56</v>
      </c>
      <c r="N184" s="9" t="s">
        <v>207</v>
      </c>
      <c r="O184" s="9">
        <v>5</v>
      </c>
      <c r="P184" s="9" t="s">
        <v>58</v>
      </c>
      <c r="Q184" s="9">
        <v>2740</v>
      </c>
      <c r="R184" s="9">
        <v>20</v>
      </c>
      <c r="S184" s="9"/>
      <c r="T184" s="9">
        <v>150</v>
      </c>
      <c r="U184" s="9">
        <v>6</v>
      </c>
      <c r="V184" s="9">
        <v>1</v>
      </c>
      <c r="W184" s="9">
        <v>2</v>
      </c>
      <c r="X184" s="9">
        <v>255</v>
      </c>
      <c r="Y184" s="9">
        <v>123.194438</v>
      </c>
      <c r="Z184" s="9">
        <v>3</v>
      </c>
      <c r="AA184" s="9">
        <v>640</v>
      </c>
      <c r="AB184" s="9">
        <v>640</v>
      </c>
      <c r="AC184" s="9" t="s">
        <v>222</v>
      </c>
      <c r="AD184" s="9">
        <v>3.5</v>
      </c>
      <c r="AE184" s="9">
        <v>4.55</v>
      </c>
      <c r="AF184" s="9" t="s">
        <v>84</v>
      </c>
      <c r="AG184" s="9"/>
      <c r="AH184" s="9" t="s">
        <v>77</v>
      </c>
      <c r="AI184" s="9">
        <v>70</v>
      </c>
      <c r="AJ184" s="9">
        <v>100</v>
      </c>
      <c r="AK184" s="9" t="s">
        <v>830</v>
      </c>
      <c r="AL184" s="9">
        <v>23</v>
      </c>
      <c r="AM184" s="9"/>
      <c r="AN184" s="9" t="s">
        <v>210</v>
      </c>
      <c r="AO184" s="9" t="s">
        <v>273</v>
      </c>
      <c r="AP184" s="9" t="s">
        <v>212</v>
      </c>
      <c r="AQ184" s="9"/>
      <c r="AR184" s="9" t="s">
        <v>274</v>
      </c>
      <c r="AS184" s="9" t="s">
        <v>68</v>
      </c>
      <c r="AT184" s="9" t="s">
        <v>69</v>
      </c>
      <c r="AU184" s="9" t="s">
        <v>70</v>
      </c>
      <c r="AV184" s="9">
        <v>30</v>
      </c>
    </row>
    <row r="185" spans="1:48">
      <c r="A185" s="9">
        <f t="shared" si="2"/>
        <v>184</v>
      </c>
      <c r="B185" s="9" t="s">
        <v>828</v>
      </c>
      <c r="C185" s="9" t="s">
        <v>831</v>
      </c>
      <c r="D185" s="9">
        <v>1</v>
      </c>
      <c r="E185" s="9">
        <v>1</v>
      </c>
      <c r="F185" s="9" t="s">
        <v>72</v>
      </c>
      <c r="G185" s="9" t="s">
        <v>292</v>
      </c>
      <c r="H185" s="9"/>
      <c r="I185" s="9" t="s">
        <v>293</v>
      </c>
      <c r="J185" s="9" t="s">
        <v>53</v>
      </c>
      <c r="K185" s="9" t="s">
        <v>206</v>
      </c>
      <c r="L185" s="9" t="s">
        <v>113</v>
      </c>
      <c r="M185" s="9" t="s">
        <v>56</v>
      </c>
      <c r="N185" s="9" t="s">
        <v>207</v>
      </c>
      <c r="O185" s="9">
        <v>6</v>
      </c>
      <c r="P185" s="9" t="s">
        <v>58</v>
      </c>
      <c r="Q185" s="9">
        <v>2530</v>
      </c>
      <c r="R185" s="9">
        <v>20</v>
      </c>
      <c r="S185" s="9"/>
      <c r="T185" s="9">
        <v>150</v>
      </c>
      <c r="U185" s="9">
        <v>6</v>
      </c>
      <c r="V185" s="9">
        <v>1</v>
      </c>
      <c r="W185" s="9">
        <v>2</v>
      </c>
      <c r="X185" s="9">
        <v>255</v>
      </c>
      <c r="Y185" s="9">
        <v>123.194458</v>
      </c>
      <c r="Z185" s="9">
        <v>3</v>
      </c>
      <c r="AA185" s="9">
        <v>320</v>
      </c>
      <c r="AB185" s="9">
        <v>320</v>
      </c>
      <c r="AC185" s="9" t="s">
        <v>393</v>
      </c>
      <c r="AD185" s="9">
        <v>3</v>
      </c>
      <c r="AE185" s="9">
        <v>3.3</v>
      </c>
      <c r="AF185" s="9" t="s">
        <v>84</v>
      </c>
      <c r="AG185" s="9"/>
      <c r="AH185" s="9" t="s">
        <v>77</v>
      </c>
      <c r="AI185" s="9">
        <v>70</v>
      </c>
      <c r="AJ185" s="9">
        <v>100</v>
      </c>
      <c r="AK185" s="9" t="s">
        <v>832</v>
      </c>
      <c r="AL185" s="9">
        <v>5</v>
      </c>
      <c r="AM185" s="9"/>
      <c r="AN185" s="9" t="s">
        <v>210</v>
      </c>
      <c r="AO185" s="9" t="s">
        <v>273</v>
      </c>
      <c r="AP185" s="9" t="s">
        <v>212</v>
      </c>
      <c r="AQ185" s="9"/>
      <c r="AR185" s="9" t="s">
        <v>274</v>
      </c>
      <c r="AS185" s="9" t="s">
        <v>68</v>
      </c>
      <c r="AT185" s="9" t="s">
        <v>69</v>
      </c>
      <c r="AU185" s="9" t="s">
        <v>70</v>
      </c>
      <c r="AV185" s="9">
        <v>30</v>
      </c>
    </row>
    <row r="186" spans="1:48">
      <c r="A186" s="9">
        <f t="shared" si="2"/>
        <v>185</v>
      </c>
      <c r="B186" s="9" t="s">
        <v>828</v>
      </c>
      <c r="C186" s="9" t="s">
        <v>833</v>
      </c>
      <c r="D186" s="9">
        <v>1</v>
      </c>
      <c r="E186" s="9">
        <v>1</v>
      </c>
      <c r="F186" s="9" t="s">
        <v>50</v>
      </c>
      <c r="G186" s="9" t="s">
        <v>288</v>
      </c>
      <c r="H186" s="9"/>
      <c r="I186" s="9" t="s">
        <v>289</v>
      </c>
      <c r="J186" s="9" t="s">
        <v>53</v>
      </c>
      <c r="K186" s="9" t="s">
        <v>206</v>
      </c>
      <c r="L186" s="9" t="s">
        <v>113</v>
      </c>
      <c r="M186" s="9" t="s">
        <v>56</v>
      </c>
      <c r="N186" s="9" t="s">
        <v>207</v>
      </c>
      <c r="O186" s="9">
        <v>9</v>
      </c>
      <c r="P186" s="9" t="s">
        <v>58</v>
      </c>
      <c r="Q186" s="9">
        <v>2800</v>
      </c>
      <c r="R186" s="9">
        <v>22</v>
      </c>
      <c r="S186" s="9"/>
      <c r="T186" s="9">
        <v>150</v>
      </c>
      <c r="U186" s="9">
        <v>5</v>
      </c>
      <c r="V186" s="9">
        <v>1</v>
      </c>
      <c r="W186" s="9">
        <v>2</v>
      </c>
      <c r="X186" s="9">
        <v>255</v>
      </c>
      <c r="Y186" s="9">
        <v>123.194455</v>
      </c>
      <c r="Z186" s="9">
        <v>3</v>
      </c>
      <c r="AA186" s="9">
        <v>640</v>
      </c>
      <c r="AB186" s="9">
        <v>640</v>
      </c>
      <c r="AC186" s="9" t="s">
        <v>222</v>
      </c>
      <c r="AD186" s="9">
        <v>2.5</v>
      </c>
      <c r="AE186" s="9">
        <v>3</v>
      </c>
      <c r="AF186" s="9" t="s">
        <v>84</v>
      </c>
      <c r="AG186" s="9"/>
      <c r="AH186" s="9" t="s">
        <v>77</v>
      </c>
      <c r="AI186" s="9">
        <v>70</v>
      </c>
      <c r="AJ186" s="9">
        <v>100</v>
      </c>
      <c r="AK186" s="9" t="s">
        <v>834</v>
      </c>
      <c r="AL186" s="9">
        <v>1</v>
      </c>
      <c r="AM186" s="9"/>
      <c r="AN186" s="9" t="s">
        <v>210</v>
      </c>
      <c r="AO186" s="9" t="s">
        <v>273</v>
      </c>
      <c r="AP186" s="9" t="s">
        <v>212</v>
      </c>
      <c r="AQ186" s="9"/>
      <c r="AR186" s="9" t="s">
        <v>274</v>
      </c>
      <c r="AS186" s="9" t="s">
        <v>68</v>
      </c>
      <c r="AT186" s="9" t="s">
        <v>69</v>
      </c>
      <c r="AU186" s="9" t="s">
        <v>70</v>
      </c>
      <c r="AV186" s="9">
        <v>35</v>
      </c>
    </row>
    <row r="187" spans="1:48">
      <c r="A187" s="9">
        <f t="shared" si="2"/>
        <v>186</v>
      </c>
      <c r="B187" s="9" t="s">
        <v>828</v>
      </c>
      <c r="C187" s="9" t="s">
        <v>835</v>
      </c>
      <c r="D187" s="9">
        <v>0</v>
      </c>
      <c r="E187" s="9">
        <v>0</v>
      </c>
      <c r="F187" s="9" t="s">
        <v>72</v>
      </c>
      <c r="G187" s="9" t="s">
        <v>265</v>
      </c>
      <c r="H187" s="9"/>
      <c r="I187" s="9" t="s">
        <v>266</v>
      </c>
      <c r="J187" s="9" t="s">
        <v>53</v>
      </c>
      <c r="K187" s="9" t="s">
        <v>267</v>
      </c>
      <c r="L187" s="9" t="s">
        <v>268</v>
      </c>
      <c r="M187" s="9" t="s">
        <v>56</v>
      </c>
      <c r="N187" s="9" t="s">
        <v>269</v>
      </c>
      <c r="O187" s="9">
        <v>10</v>
      </c>
      <c r="P187" s="9" t="s">
        <v>58</v>
      </c>
      <c r="Q187" s="9">
        <v>490</v>
      </c>
      <c r="R187" s="9">
        <v>12</v>
      </c>
      <c r="S187" s="9"/>
      <c r="T187" s="9">
        <v>90</v>
      </c>
      <c r="U187" s="9">
        <v>1</v>
      </c>
      <c r="V187" s="9">
        <v>1</v>
      </c>
      <c r="W187" s="9">
        <v>1</v>
      </c>
      <c r="X187" s="9">
        <v>250</v>
      </c>
      <c r="Y187" s="9">
        <v>123.194406</v>
      </c>
      <c r="Z187" s="9">
        <v>3</v>
      </c>
      <c r="AA187" s="9">
        <v>384</v>
      </c>
      <c r="AB187" s="9">
        <v>384</v>
      </c>
      <c r="AC187" s="9" t="s">
        <v>75</v>
      </c>
      <c r="AD187" s="9">
        <v>3</v>
      </c>
      <c r="AE187" s="9">
        <v>3.3</v>
      </c>
      <c r="AF187" s="9" t="s">
        <v>271</v>
      </c>
      <c r="AG187" s="9"/>
      <c r="AH187" s="9" t="s">
        <v>77</v>
      </c>
      <c r="AI187" s="9">
        <v>70</v>
      </c>
      <c r="AJ187" s="9">
        <v>100</v>
      </c>
      <c r="AK187" s="9" t="s">
        <v>832</v>
      </c>
      <c r="AL187" s="9">
        <v>30</v>
      </c>
      <c r="AM187" s="9"/>
      <c r="AN187" s="9" t="s">
        <v>210</v>
      </c>
      <c r="AO187" s="9" t="s">
        <v>273</v>
      </c>
      <c r="AP187" s="9" t="s">
        <v>212</v>
      </c>
      <c r="AQ187" s="9"/>
      <c r="AR187" s="9" t="s">
        <v>274</v>
      </c>
      <c r="AS187" s="9" t="s">
        <v>68</v>
      </c>
      <c r="AT187" s="9" t="s">
        <v>69</v>
      </c>
      <c r="AU187" s="9" t="s">
        <v>70</v>
      </c>
      <c r="AV187" s="9">
        <v>30</v>
      </c>
    </row>
    <row r="188" spans="1:48">
      <c r="A188" s="9">
        <f t="shared" si="2"/>
        <v>187</v>
      </c>
      <c r="B188" s="9" t="s">
        <v>828</v>
      </c>
      <c r="C188" s="9" t="s">
        <v>836</v>
      </c>
      <c r="D188" s="9">
        <v>0</v>
      </c>
      <c r="E188" s="9">
        <v>0</v>
      </c>
      <c r="F188" s="9" t="s">
        <v>50</v>
      </c>
      <c r="G188" s="9" t="s">
        <v>284</v>
      </c>
      <c r="H188" s="9"/>
      <c r="I188" s="9" t="s">
        <v>285</v>
      </c>
      <c r="J188" s="9" t="s">
        <v>53</v>
      </c>
      <c r="K188" s="9" t="s">
        <v>206</v>
      </c>
      <c r="L188" s="9"/>
      <c r="M188" s="9" t="s">
        <v>56</v>
      </c>
      <c r="N188" s="9" t="s">
        <v>207</v>
      </c>
      <c r="O188" s="9">
        <v>8</v>
      </c>
      <c r="P188" s="9" t="s">
        <v>58</v>
      </c>
      <c r="Q188" s="9">
        <v>2550</v>
      </c>
      <c r="R188" s="9">
        <v>82</v>
      </c>
      <c r="S188" s="9"/>
      <c r="T188" s="9">
        <v>150</v>
      </c>
      <c r="U188" s="9">
        <v>14</v>
      </c>
      <c r="V188" s="9">
        <v>1</v>
      </c>
      <c r="W188" s="9">
        <v>2</v>
      </c>
      <c r="X188" s="9">
        <v>215</v>
      </c>
      <c r="Y188" s="9">
        <v>123.194406</v>
      </c>
      <c r="Z188" s="9">
        <v>3</v>
      </c>
      <c r="AA188" s="9">
        <v>384</v>
      </c>
      <c r="AB188" s="9">
        <v>384</v>
      </c>
      <c r="AC188" s="9" t="s">
        <v>75</v>
      </c>
      <c r="AD188" s="9">
        <v>2.5</v>
      </c>
      <c r="AE188" s="9">
        <v>3</v>
      </c>
      <c r="AF188" s="9" t="s">
        <v>271</v>
      </c>
      <c r="AG188" s="9"/>
      <c r="AH188" s="9" t="s">
        <v>77</v>
      </c>
      <c r="AI188" s="9">
        <v>70</v>
      </c>
      <c r="AJ188" s="9">
        <v>100</v>
      </c>
      <c r="AK188" s="9" t="s">
        <v>837</v>
      </c>
      <c r="AL188" s="9">
        <v>33</v>
      </c>
      <c r="AM188" s="9"/>
      <c r="AN188" s="9" t="s">
        <v>210</v>
      </c>
      <c r="AO188" s="9" t="s">
        <v>273</v>
      </c>
      <c r="AP188" s="9" t="s">
        <v>212</v>
      </c>
      <c r="AQ188" s="9"/>
      <c r="AR188" s="9" t="s">
        <v>274</v>
      </c>
      <c r="AS188" s="9" t="s">
        <v>68</v>
      </c>
      <c r="AT188" s="9" t="s">
        <v>69</v>
      </c>
      <c r="AU188" s="9" t="s">
        <v>70</v>
      </c>
      <c r="AV188" s="9">
        <v>35</v>
      </c>
    </row>
    <row r="189" spans="1:48">
      <c r="A189" s="9">
        <f t="shared" si="2"/>
        <v>188</v>
      </c>
      <c r="B189" s="9" t="s">
        <v>828</v>
      </c>
      <c r="C189" s="9" t="s">
        <v>838</v>
      </c>
      <c r="D189" s="9">
        <v>0</v>
      </c>
      <c r="E189" s="9">
        <v>0</v>
      </c>
      <c r="F189" s="9" t="s">
        <v>72</v>
      </c>
      <c r="G189" s="9" t="s">
        <v>265</v>
      </c>
      <c r="H189" s="9"/>
      <c r="I189" s="9" t="s">
        <v>266</v>
      </c>
      <c r="J189" s="9" t="s">
        <v>53</v>
      </c>
      <c r="K189" s="9" t="s">
        <v>267</v>
      </c>
      <c r="L189" s="9" t="s">
        <v>268</v>
      </c>
      <c r="M189" s="9" t="s">
        <v>56</v>
      </c>
      <c r="N189" s="9" t="s">
        <v>269</v>
      </c>
      <c r="O189" s="9">
        <v>7</v>
      </c>
      <c r="P189" s="9" t="s">
        <v>58</v>
      </c>
      <c r="Q189" s="9">
        <v>490</v>
      </c>
      <c r="R189" s="9">
        <v>12</v>
      </c>
      <c r="S189" s="9"/>
      <c r="T189" s="9">
        <v>90</v>
      </c>
      <c r="U189" s="9">
        <v>1</v>
      </c>
      <c r="V189" s="9">
        <v>1</v>
      </c>
      <c r="W189" s="9">
        <v>1</v>
      </c>
      <c r="X189" s="9">
        <v>250</v>
      </c>
      <c r="Y189" s="9">
        <v>123.194406</v>
      </c>
      <c r="Z189" s="9">
        <v>3</v>
      </c>
      <c r="AA189" s="9">
        <v>384</v>
      </c>
      <c r="AB189" s="9">
        <v>384</v>
      </c>
      <c r="AC189" s="9" t="s">
        <v>75</v>
      </c>
      <c r="AD189" s="9">
        <v>3</v>
      </c>
      <c r="AE189" s="9">
        <v>3.3</v>
      </c>
      <c r="AF189" s="9" t="s">
        <v>271</v>
      </c>
      <c r="AG189" s="9"/>
      <c r="AH189" s="9" t="s">
        <v>77</v>
      </c>
      <c r="AI189" s="9">
        <v>70</v>
      </c>
      <c r="AJ189" s="9">
        <v>100</v>
      </c>
      <c r="AK189" s="9" t="s">
        <v>832</v>
      </c>
      <c r="AL189" s="9">
        <v>15</v>
      </c>
      <c r="AM189" s="9"/>
      <c r="AN189" s="9" t="s">
        <v>210</v>
      </c>
      <c r="AO189" s="9" t="s">
        <v>273</v>
      </c>
      <c r="AP189" s="9" t="s">
        <v>212</v>
      </c>
      <c r="AQ189" s="9"/>
      <c r="AR189" s="9" t="s">
        <v>274</v>
      </c>
      <c r="AS189" s="9" t="s">
        <v>68</v>
      </c>
      <c r="AT189" s="9" t="s">
        <v>69</v>
      </c>
      <c r="AU189" s="9" t="s">
        <v>70</v>
      </c>
      <c r="AV189" s="9">
        <v>30</v>
      </c>
    </row>
    <row r="190" spans="1:48">
      <c r="A190" s="9">
        <f t="shared" si="2"/>
        <v>189</v>
      </c>
      <c r="B190" s="9" t="s">
        <v>839</v>
      </c>
      <c r="C190" s="9" t="s">
        <v>840</v>
      </c>
      <c r="D190" s="9">
        <v>0</v>
      </c>
      <c r="E190" s="9">
        <v>0</v>
      </c>
      <c r="F190" s="9" t="s">
        <v>72</v>
      </c>
      <c r="G190" s="9" t="s">
        <v>108</v>
      </c>
      <c r="H190" s="9"/>
      <c r="I190" s="9"/>
      <c r="J190" s="9" t="s">
        <v>53</v>
      </c>
      <c r="K190" s="9" t="s">
        <v>97</v>
      </c>
      <c r="L190" s="9" t="s">
        <v>98</v>
      </c>
      <c r="M190" s="9" t="s">
        <v>56</v>
      </c>
      <c r="N190" s="9" t="s">
        <v>99</v>
      </c>
      <c r="O190" s="9">
        <v>801</v>
      </c>
      <c r="P190" s="9" t="s">
        <v>58</v>
      </c>
      <c r="Q190" s="10">
        <v>482.243988037109</v>
      </c>
      <c r="R190" s="9">
        <v>10</v>
      </c>
      <c r="S190" s="9"/>
      <c r="T190" s="9">
        <v>90</v>
      </c>
      <c r="U190" s="9">
        <v>3</v>
      </c>
      <c r="V190" s="9">
        <v>1</v>
      </c>
      <c r="W190" s="9">
        <v>2</v>
      </c>
      <c r="X190" s="9">
        <v>365</v>
      </c>
      <c r="Y190" s="9">
        <v>127.768048</v>
      </c>
      <c r="Z190" s="9">
        <v>3</v>
      </c>
      <c r="AA190" s="9">
        <v>704</v>
      </c>
      <c r="AB190" s="9">
        <v>704</v>
      </c>
      <c r="AC190" s="9" t="s">
        <v>109</v>
      </c>
      <c r="AD190" s="9">
        <v>3</v>
      </c>
      <c r="AE190" s="9">
        <v>3.3</v>
      </c>
      <c r="AF190" s="9" t="s">
        <v>841</v>
      </c>
      <c r="AG190" s="9"/>
      <c r="AH190" s="9" t="s">
        <v>61</v>
      </c>
      <c r="AI190" s="10">
        <v>88.076919555664</v>
      </c>
      <c r="AJ190" s="9">
        <v>100</v>
      </c>
      <c r="AK190" s="9" t="s">
        <v>842</v>
      </c>
      <c r="AL190" s="9">
        <v>21</v>
      </c>
      <c r="AM190" s="9"/>
      <c r="AN190" s="9" t="s">
        <v>103</v>
      </c>
      <c r="AO190" s="9" t="s">
        <v>104</v>
      </c>
      <c r="AP190" s="9" t="s">
        <v>105</v>
      </c>
      <c r="AQ190" s="9" t="s">
        <v>106</v>
      </c>
      <c r="AR190" s="9"/>
      <c r="AS190" s="9" t="s">
        <v>68</v>
      </c>
      <c r="AT190" s="9" t="s">
        <v>69</v>
      </c>
      <c r="AU190" s="9" t="s">
        <v>70</v>
      </c>
      <c r="AV190" s="9">
        <v>28</v>
      </c>
    </row>
    <row r="191" spans="1:48">
      <c r="A191" s="9">
        <f t="shared" si="2"/>
        <v>190</v>
      </c>
      <c r="B191" s="9" t="s">
        <v>839</v>
      </c>
      <c r="C191" s="9" t="s">
        <v>843</v>
      </c>
      <c r="D191" s="9">
        <v>0</v>
      </c>
      <c r="E191" s="9">
        <v>0</v>
      </c>
      <c r="F191" s="9" t="s">
        <v>91</v>
      </c>
      <c r="G191" s="9" t="s">
        <v>138</v>
      </c>
      <c r="H191" s="9"/>
      <c r="I191" s="9"/>
      <c r="J191" s="9" t="s">
        <v>53</v>
      </c>
      <c r="K191" s="9" t="s">
        <v>97</v>
      </c>
      <c r="L191" s="9" t="s">
        <v>98</v>
      </c>
      <c r="M191" s="9" t="s">
        <v>56</v>
      </c>
      <c r="N191" s="9" t="s">
        <v>99</v>
      </c>
      <c r="O191" s="9">
        <v>601</v>
      </c>
      <c r="P191" s="9" t="s">
        <v>58</v>
      </c>
      <c r="Q191" s="9">
        <v>543.7490234375</v>
      </c>
      <c r="R191" s="9">
        <v>11</v>
      </c>
      <c r="S191" s="9"/>
      <c r="T191" s="9">
        <v>90</v>
      </c>
      <c r="U191" s="9">
        <v>4</v>
      </c>
      <c r="V191" s="9">
        <v>1</v>
      </c>
      <c r="W191" s="9">
        <v>1</v>
      </c>
      <c r="X191" s="9">
        <v>292</v>
      </c>
      <c r="Y191" s="9">
        <v>127.768048</v>
      </c>
      <c r="Z191" s="9">
        <v>3</v>
      </c>
      <c r="AA191" s="9">
        <v>704</v>
      </c>
      <c r="AB191" s="9">
        <v>704</v>
      </c>
      <c r="AC191" s="9" t="s">
        <v>109</v>
      </c>
      <c r="AD191" s="9">
        <v>3</v>
      </c>
      <c r="AE191" s="9">
        <v>3.3</v>
      </c>
      <c r="AF191" s="9" t="s">
        <v>844</v>
      </c>
      <c r="AG191" s="9"/>
      <c r="AH191" s="9" t="s">
        <v>77</v>
      </c>
      <c r="AI191" s="9">
        <v>87.5</v>
      </c>
      <c r="AJ191" s="9">
        <v>100</v>
      </c>
      <c r="AK191" s="9" t="s">
        <v>845</v>
      </c>
      <c r="AL191" s="9">
        <v>21</v>
      </c>
      <c r="AM191" s="9"/>
      <c r="AN191" s="9" t="s">
        <v>103</v>
      </c>
      <c r="AO191" s="9" t="s">
        <v>104</v>
      </c>
      <c r="AP191" s="9" t="s">
        <v>105</v>
      </c>
      <c r="AQ191" s="9" t="s">
        <v>106</v>
      </c>
      <c r="AR191" s="9"/>
      <c r="AS191" s="9" t="s">
        <v>68</v>
      </c>
      <c r="AT191" s="9" t="s">
        <v>69</v>
      </c>
      <c r="AU191" s="9" t="s">
        <v>70</v>
      </c>
      <c r="AV191" s="9">
        <v>40</v>
      </c>
    </row>
    <row r="192" spans="1:48">
      <c r="A192" s="9">
        <f t="shared" si="2"/>
        <v>191</v>
      </c>
      <c r="B192" s="9" t="s">
        <v>839</v>
      </c>
      <c r="C192" s="9" t="s">
        <v>846</v>
      </c>
      <c r="D192" s="9">
        <v>0</v>
      </c>
      <c r="E192" s="9">
        <v>0</v>
      </c>
      <c r="F192" s="9" t="s">
        <v>50</v>
      </c>
      <c r="G192" s="9" t="s">
        <v>126</v>
      </c>
      <c r="H192" s="9"/>
      <c r="I192" s="9"/>
      <c r="J192" s="9" t="s">
        <v>53</v>
      </c>
      <c r="K192" s="9" t="s">
        <v>97</v>
      </c>
      <c r="L192" s="9" t="s">
        <v>98</v>
      </c>
      <c r="M192" s="9" t="s">
        <v>56</v>
      </c>
      <c r="N192" s="9" t="s">
        <v>99</v>
      </c>
      <c r="O192" s="9">
        <v>401</v>
      </c>
      <c r="P192" s="9" t="s">
        <v>58</v>
      </c>
      <c r="Q192" s="10">
        <v>646.807495117187</v>
      </c>
      <c r="R192" s="9">
        <v>11</v>
      </c>
      <c r="S192" s="9"/>
      <c r="T192" s="9">
        <v>90</v>
      </c>
      <c r="U192" s="9">
        <v>3</v>
      </c>
      <c r="V192" s="9">
        <v>1</v>
      </c>
      <c r="W192" s="9">
        <v>1</v>
      </c>
      <c r="X192" s="9">
        <v>313</v>
      </c>
      <c r="Y192" s="9">
        <v>127.76804</v>
      </c>
      <c r="Z192" s="9">
        <v>3</v>
      </c>
      <c r="AA192" s="9">
        <v>512</v>
      </c>
      <c r="AB192" s="9">
        <v>512</v>
      </c>
      <c r="AC192" s="9" t="s">
        <v>127</v>
      </c>
      <c r="AD192" s="9">
        <v>3</v>
      </c>
      <c r="AE192" s="9">
        <v>3.3</v>
      </c>
      <c r="AF192" s="9" t="s">
        <v>258</v>
      </c>
      <c r="AG192" s="9"/>
      <c r="AH192" s="9" t="s">
        <v>61</v>
      </c>
      <c r="AI192" s="10">
        <v>83.2653045654296</v>
      </c>
      <c r="AJ192" s="9">
        <v>100</v>
      </c>
      <c r="AK192" s="9" t="s">
        <v>847</v>
      </c>
      <c r="AL192" s="9">
        <v>16</v>
      </c>
      <c r="AM192" s="9"/>
      <c r="AN192" s="9" t="s">
        <v>103</v>
      </c>
      <c r="AO192" s="9" t="s">
        <v>104</v>
      </c>
      <c r="AP192" s="9" t="s">
        <v>105</v>
      </c>
      <c r="AQ192" s="9" t="s">
        <v>106</v>
      </c>
      <c r="AR192" s="9"/>
      <c r="AS192" s="9" t="s">
        <v>68</v>
      </c>
      <c r="AT192" s="9" t="s">
        <v>69</v>
      </c>
      <c r="AU192" s="9" t="s">
        <v>70</v>
      </c>
      <c r="AV192" s="9">
        <v>29</v>
      </c>
    </row>
    <row r="193" spans="1:48">
      <c r="A193" s="9">
        <f t="shared" si="2"/>
        <v>192</v>
      </c>
      <c r="B193" s="9" t="s">
        <v>839</v>
      </c>
      <c r="C193" s="9" t="s">
        <v>848</v>
      </c>
      <c r="D193" s="9">
        <v>0</v>
      </c>
      <c r="E193" s="9">
        <v>0</v>
      </c>
      <c r="F193" s="9" t="s">
        <v>50</v>
      </c>
      <c r="G193" s="9" t="s">
        <v>118</v>
      </c>
      <c r="H193" s="9"/>
      <c r="I193" s="9"/>
      <c r="J193" s="9" t="s">
        <v>53</v>
      </c>
      <c r="K193" s="9" t="s">
        <v>97</v>
      </c>
      <c r="L193" s="9" t="s">
        <v>98</v>
      </c>
      <c r="M193" s="9" t="s">
        <v>56</v>
      </c>
      <c r="N193" s="9" t="s">
        <v>99</v>
      </c>
      <c r="O193" s="9">
        <v>301</v>
      </c>
      <c r="P193" s="9" t="s">
        <v>58</v>
      </c>
      <c r="Q193" s="9">
        <v>3000</v>
      </c>
      <c r="R193" s="9">
        <v>80</v>
      </c>
      <c r="S193" s="9"/>
      <c r="T193" s="9">
        <v>90</v>
      </c>
      <c r="U193" s="9">
        <v>14</v>
      </c>
      <c r="V193" s="9">
        <v>1</v>
      </c>
      <c r="W193" s="9">
        <v>1</v>
      </c>
      <c r="X193" s="9">
        <v>311</v>
      </c>
      <c r="Y193" s="9">
        <v>127.76804</v>
      </c>
      <c r="Z193" s="9">
        <v>3</v>
      </c>
      <c r="AA193" s="9">
        <v>432</v>
      </c>
      <c r="AB193" s="9">
        <v>432</v>
      </c>
      <c r="AC193" s="9" t="s">
        <v>119</v>
      </c>
      <c r="AD193" s="9">
        <v>3</v>
      </c>
      <c r="AE193" s="9">
        <v>3.3</v>
      </c>
      <c r="AF193" s="9" t="s">
        <v>849</v>
      </c>
      <c r="AG193" s="9"/>
      <c r="AH193" s="9" t="s">
        <v>61</v>
      </c>
      <c r="AI193" s="10">
        <v>81.8014678955078</v>
      </c>
      <c r="AJ193" s="9">
        <v>100</v>
      </c>
      <c r="AK193" s="9" t="s">
        <v>847</v>
      </c>
      <c r="AL193" s="9">
        <v>5</v>
      </c>
      <c r="AM193" s="9"/>
      <c r="AN193" s="9" t="s">
        <v>103</v>
      </c>
      <c r="AO193" s="9" t="s">
        <v>104</v>
      </c>
      <c r="AP193" s="9" t="s">
        <v>105</v>
      </c>
      <c r="AQ193" s="9" t="s">
        <v>106</v>
      </c>
      <c r="AR193" s="9"/>
      <c r="AS193" s="9" t="s">
        <v>68</v>
      </c>
      <c r="AT193" s="9" t="s">
        <v>69</v>
      </c>
      <c r="AU193" s="9" t="s">
        <v>70</v>
      </c>
      <c r="AV193" s="9">
        <v>29</v>
      </c>
    </row>
    <row r="194" spans="1:48">
      <c r="A194" s="9">
        <f t="shared" si="2"/>
        <v>193</v>
      </c>
      <c r="B194" s="9" t="s">
        <v>839</v>
      </c>
      <c r="C194" s="9" t="s">
        <v>850</v>
      </c>
      <c r="D194" s="9">
        <v>1</v>
      </c>
      <c r="E194" s="9">
        <v>1</v>
      </c>
      <c r="F194" s="9" t="s">
        <v>72</v>
      </c>
      <c r="G194" s="9" t="s">
        <v>123</v>
      </c>
      <c r="H194" s="9"/>
      <c r="I194" s="9"/>
      <c r="J194" s="9" t="s">
        <v>53</v>
      </c>
      <c r="K194" s="9" t="s">
        <v>97</v>
      </c>
      <c r="L194" s="9" t="s">
        <v>113</v>
      </c>
      <c r="M194" s="9" t="s">
        <v>56</v>
      </c>
      <c r="N194" s="9" t="s">
        <v>99</v>
      </c>
      <c r="O194" s="9">
        <v>701</v>
      </c>
      <c r="P194" s="9" t="s">
        <v>58</v>
      </c>
      <c r="Q194" s="10">
        <v>2499.99951171875</v>
      </c>
      <c r="R194" s="9">
        <v>30</v>
      </c>
      <c r="S194" s="9"/>
      <c r="T194" s="9">
        <v>90</v>
      </c>
      <c r="U194" s="9">
        <v>10</v>
      </c>
      <c r="V194" s="9">
        <v>1</v>
      </c>
      <c r="W194" s="9">
        <v>2</v>
      </c>
      <c r="X194" s="9">
        <v>352</v>
      </c>
      <c r="Y194" s="9">
        <v>127.76816</v>
      </c>
      <c r="Z194" s="9">
        <v>3</v>
      </c>
      <c r="AA194" s="9">
        <v>640</v>
      </c>
      <c r="AB194" s="9">
        <v>640</v>
      </c>
      <c r="AC194" s="9" t="s">
        <v>100</v>
      </c>
      <c r="AD194" s="9">
        <v>3</v>
      </c>
      <c r="AE194" s="9">
        <v>3.3</v>
      </c>
      <c r="AF194" s="9" t="s">
        <v>336</v>
      </c>
      <c r="AG194" s="9"/>
      <c r="AH194" s="9" t="s">
        <v>61</v>
      </c>
      <c r="AI194" s="10">
        <v>83.2692337036132</v>
      </c>
      <c r="AJ194" s="9">
        <v>100</v>
      </c>
      <c r="AK194" s="9" t="s">
        <v>842</v>
      </c>
      <c r="AL194" s="9">
        <v>27</v>
      </c>
      <c r="AM194" s="9"/>
      <c r="AN194" s="9" t="s">
        <v>103</v>
      </c>
      <c r="AO194" s="9" t="s">
        <v>104</v>
      </c>
      <c r="AP194" s="9" t="s">
        <v>105</v>
      </c>
      <c r="AQ194" s="9" t="s">
        <v>106</v>
      </c>
      <c r="AR194" s="9"/>
      <c r="AS194" s="9" t="s">
        <v>68</v>
      </c>
      <c r="AT194" s="9" t="s">
        <v>69</v>
      </c>
      <c r="AU194" s="9" t="s">
        <v>70</v>
      </c>
      <c r="AV194" s="9">
        <v>28</v>
      </c>
    </row>
    <row r="195" spans="1:48">
      <c r="A195" s="9">
        <f t="shared" ref="A195:A258" si="3">ROW()-1</f>
        <v>194</v>
      </c>
      <c r="B195" s="9" t="s">
        <v>839</v>
      </c>
      <c r="C195" s="9" t="s">
        <v>851</v>
      </c>
      <c r="D195" s="9">
        <v>1</v>
      </c>
      <c r="E195" s="9">
        <v>1</v>
      </c>
      <c r="F195" s="9" t="s">
        <v>50</v>
      </c>
      <c r="G195" s="9" t="s">
        <v>130</v>
      </c>
      <c r="H195" s="9"/>
      <c r="I195" s="9"/>
      <c r="J195" s="9" t="s">
        <v>53</v>
      </c>
      <c r="K195" s="9" t="s">
        <v>97</v>
      </c>
      <c r="L195" s="9" t="s">
        <v>113</v>
      </c>
      <c r="M195" s="9" t="s">
        <v>56</v>
      </c>
      <c r="N195" s="9" t="s">
        <v>99</v>
      </c>
      <c r="O195" s="9">
        <v>201</v>
      </c>
      <c r="P195" s="9" t="s">
        <v>58</v>
      </c>
      <c r="Q195" s="10">
        <v>3072.81909179687</v>
      </c>
      <c r="R195" s="9">
        <v>30</v>
      </c>
      <c r="S195" s="9"/>
      <c r="T195" s="9">
        <v>90</v>
      </c>
      <c r="U195" s="9">
        <v>12</v>
      </c>
      <c r="V195" s="9">
        <v>1</v>
      </c>
      <c r="W195" s="9">
        <v>1</v>
      </c>
      <c r="X195" s="9">
        <v>250</v>
      </c>
      <c r="Y195" s="9">
        <v>127.768112</v>
      </c>
      <c r="Z195" s="9">
        <v>3</v>
      </c>
      <c r="AA195" s="9">
        <v>800</v>
      </c>
      <c r="AB195" s="9">
        <v>800</v>
      </c>
      <c r="AC195" s="9" t="s">
        <v>131</v>
      </c>
      <c r="AD195" s="9">
        <v>3</v>
      </c>
      <c r="AE195" s="9">
        <v>3.3</v>
      </c>
      <c r="AF195" s="9" t="s">
        <v>132</v>
      </c>
      <c r="AG195" s="9"/>
      <c r="AH195" s="9" t="s">
        <v>61</v>
      </c>
      <c r="AI195" s="9">
        <v>75</v>
      </c>
      <c r="AJ195" s="9">
        <v>100</v>
      </c>
      <c r="AK195" s="9" t="s">
        <v>847</v>
      </c>
      <c r="AL195" s="9">
        <v>9</v>
      </c>
      <c r="AM195" s="9"/>
      <c r="AN195" s="9" t="s">
        <v>103</v>
      </c>
      <c r="AO195" s="9" t="s">
        <v>104</v>
      </c>
      <c r="AP195" s="9" t="s">
        <v>105</v>
      </c>
      <c r="AQ195" s="9" t="s">
        <v>106</v>
      </c>
      <c r="AR195" s="9"/>
      <c r="AS195" s="9" t="s">
        <v>68</v>
      </c>
      <c r="AT195" s="9" t="s">
        <v>69</v>
      </c>
      <c r="AU195" s="9" t="s">
        <v>70</v>
      </c>
      <c r="AV195" s="9">
        <v>29</v>
      </c>
    </row>
    <row r="196" spans="1:48">
      <c r="A196" s="9">
        <f t="shared" si="3"/>
        <v>195</v>
      </c>
      <c r="B196" s="9" t="s">
        <v>839</v>
      </c>
      <c r="C196" s="9" t="s">
        <v>852</v>
      </c>
      <c r="D196" s="9">
        <v>1</v>
      </c>
      <c r="E196" s="9">
        <v>1</v>
      </c>
      <c r="F196" s="9" t="s">
        <v>91</v>
      </c>
      <c r="G196" s="9" t="s">
        <v>134</v>
      </c>
      <c r="H196" s="9"/>
      <c r="I196" s="9"/>
      <c r="J196" s="9" t="s">
        <v>53</v>
      </c>
      <c r="K196" s="9" t="s">
        <v>97</v>
      </c>
      <c r="L196" s="9" t="s">
        <v>113</v>
      </c>
      <c r="M196" s="9" t="s">
        <v>56</v>
      </c>
      <c r="N196" s="9" t="s">
        <v>99</v>
      </c>
      <c r="O196" s="9">
        <v>501</v>
      </c>
      <c r="P196" s="9" t="s">
        <v>58</v>
      </c>
      <c r="Q196" s="9">
        <v>4019.478515625</v>
      </c>
      <c r="R196" s="9">
        <v>83.823</v>
      </c>
      <c r="S196" s="9"/>
      <c r="T196" s="9">
        <v>90</v>
      </c>
      <c r="U196" s="9">
        <v>20</v>
      </c>
      <c r="V196" s="9">
        <v>1</v>
      </c>
      <c r="W196" s="9">
        <v>1</v>
      </c>
      <c r="X196" s="9">
        <v>250</v>
      </c>
      <c r="Y196" s="9">
        <v>127.768136</v>
      </c>
      <c r="Z196" s="9">
        <v>3</v>
      </c>
      <c r="AA196" s="9">
        <v>640</v>
      </c>
      <c r="AB196" s="9">
        <v>640</v>
      </c>
      <c r="AC196" s="9" t="s">
        <v>100</v>
      </c>
      <c r="AD196" s="9">
        <v>3</v>
      </c>
      <c r="AE196" s="9">
        <v>3.3</v>
      </c>
      <c r="AF196" s="9" t="s">
        <v>249</v>
      </c>
      <c r="AG196" s="9"/>
      <c r="AH196" s="9" t="s">
        <v>77</v>
      </c>
      <c r="AI196" s="10">
        <v>99.696044921875</v>
      </c>
      <c r="AJ196" s="9">
        <v>100</v>
      </c>
      <c r="AK196" s="9" t="s">
        <v>845</v>
      </c>
      <c r="AL196" s="9">
        <v>23</v>
      </c>
      <c r="AM196" s="9"/>
      <c r="AN196" s="9" t="s">
        <v>103</v>
      </c>
      <c r="AO196" s="9" t="s">
        <v>104</v>
      </c>
      <c r="AP196" s="9" t="s">
        <v>105</v>
      </c>
      <c r="AQ196" s="9" t="s">
        <v>106</v>
      </c>
      <c r="AR196" s="9"/>
      <c r="AS196" s="9" t="s">
        <v>68</v>
      </c>
      <c r="AT196" s="9" t="s">
        <v>69</v>
      </c>
      <c r="AU196" s="9" t="s">
        <v>70</v>
      </c>
      <c r="AV196" s="9">
        <v>40</v>
      </c>
    </row>
    <row r="197" spans="1:48">
      <c r="A197" s="9">
        <f t="shared" si="3"/>
        <v>196</v>
      </c>
      <c r="B197" s="9" t="s">
        <v>839</v>
      </c>
      <c r="C197" s="9" t="s">
        <v>853</v>
      </c>
      <c r="D197" s="9">
        <v>1</v>
      </c>
      <c r="E197" s="9">
        <v>1</v>
      </c>
      <c r="F197" s="9" t="s">
        <v>72</v>
      </c>
      <c r="G197" s="9" t="s">
        <v>112</v>
      </c>
      <c r="H197" s="9"/>
      <c r="I197" s="9"/>
      <c r="J197" s="9" t="s">
        <v>53</v>
      </c>
      <c r="K197" s="9" t="s">
        <v>97</v>
      </c>
      <c r="L197" s="9" t="s">
        <v>113</v>
      </c>
      <c r="M197" s="9" t="s">
        <v>56</v>
      </c>
      <c r="N197" s="9" t="s">
        <v>99</v>
      </c>
      <c r="O197" s="9">
        <v>901</v>
      </c>
      <c r="P197" s="9" t="s">
        <v>58</v>
      </c>
      <c r="Q197" s="9">
        <v>2500</v>
      </c>
      <c r="R197" s="9">
        <v>75</v>
      </c>
      <c r="S197" s="9"/>
      <c r="T197" s="9">
        <v>90</v>
      </c>
      <c r="U197" s="9">
        <v>18</v>
      </c>
      <c r="V197" s="9">
        <v>1</v>
      </c>
      <c r="W197" s="9">
        <v>2</v>
      </c>
      <c r="X197" s="9">
        <v>218</v>
      </c>
      <c r="Y197" s="9">
        <v>127.76808</v>
      </c>
      <c r="Z197" s="9">
        <v>3</v>
      </c>
      <c r="AA197" s="9">
        <v>480</v>
      </c>
      <c r="AB197" s="9">
        <v>480</v>
      </c>
      <c r="AC197" s="9" t="s">
        <v>114</v>
      </c>
      <c r="AD197" s="9">
        <v>2.5</v>
      </c>
      <c r="AE197" s="9">
        <v>3</v>
      </c>
      <c r="AF197" s="9" t="s">
        <v>115</v>
      </c>
      <c r="AG197" s="9"/>
      <c r="AH197" s="9" t="s">
        <v>77</v>
      </c>
      <c r="AI197" s="10">
        <v>78.3333358764648</v>
      </c>
      <c r="AJ197" s="9">
        <v>100</v>
      </c>
      <c r="AK197" s="9" t="s">
        <v>854</v>
      </c>
      <c r="AL197" s="9">
        <v>12</v>
      </c>
      <c r="AM197" s="9"/>
      <c r="AN197" s="9" t="s">
        <v>103</v>
      </c>
      <c r="AO197" s="9" t="s">
        <v>104</v>
      </c>
      <c r="AP197" s="9" t="s">
        <v>105</v>
      </c>
      <c r="AQ197" s="9" t="s">
        <v>106</v>
      </c>
      <c r="AR197" s="9"/>
      <c r="AS197" s="9" t="s">
        <v>68</v>
      </c>
      <c r="AT197" s="9" t="s">
        <v>69</v>
      </c>
      <c r="AU197" s="9" t="s">
        <v>70</v>
      </c>
      <c r="AV197" s="9">
        <v>16</v>
      </c>
    </row>
    <row r="198" spans="1:48">
      <c r="A198" s="9">
        <f t="shared" si="3"/>
        <v>197</v>
      </c>
      <c r="B198" s="9" t="s">
        <v>855</v>
      </c>
      <c r="C198" s="9" t="s">
        <v>856</v>
      </c>
      <c r="D198" s="9">
        <v>1</v>
      </c>
      <c r="E198" s="9">
        <v>1</v>
      </c>
      <c r="F198" s="9" t="s">
        <v>72</v>
      </c>
      <c r="G198" s="9" t="s">
        <v>857</v>
      </c>
      <c r="H198" s="9"/>
      <c r="I198" s="9"/>
      <c r="J198" s="9" t="s">
        <v>53</v>
      </c>
      <c r="K198" s="9" t="s">
        <v>97</v>
      </c>
      <c r="L198" s="9" t="s">
        <v>858</v>
      </c>
      <c r="M198" s="9" t="s">
        <v>56</v>
      </c>
      <c r="N198" s="9" t="s">
        <v>145</v>
      </c>
      <c r="O198" s="9">
        <v>6</v>
      </c>
      <c r="P198" s="9" t="s">
        <v>58</v>
      </c>
      <c r="Q198" s="9">
        <v>1544</v>
      </c>
      <c r="R198" s="9">
        <v>37.8</v>
      </c>
      <c r="S198" s="9"/>
      <c r="T198" s="9">
        <v>160</v>
      </c>
      <c r="U198" s="9">
        <v>9</v>
      </c>
      <c r="V198" s="9">
        <v>1</v>
      </c>
      <c r="W198" s="9">
        <v>2</v>
      </c>
      <c r="X198" s="9">
        <v>195.312</v>
      </c>
      <c r="Y198" s="9">
        <v>63.904413</v>
      </c>
      <c r="Z198" s="9">
        <v>1.5</v>
      </c>
      <c r="AA198" s="9">
        <v>256</v>
      </c>
      <c r="AB198" s="9">
        <v>256</v>
      </c>
      <c r="AC198" s="9" t="s">
        <v>859</v>
      </c>
      <c r="AD198" s="9">
        <v>4</v>
      </c>
      <c r="AE198" s="9">
        <v>4.5</v>
      </c>
      <c r="AF198" s="9" t="s">
        <v>860</v>
      </c>
      <c r="AG198" s="9"/>
      <c r="AH198" s="9" t="s">
        <v>77</v>
      </c>
      <c r="AI198" s="9">
        <v>100</v>
      </c>
      <c r="AJ198" s="9">
        <v>100</v>
      </c>
      <c r="AK198" s="9" t="s">
        <v>861</v>
      </c>
      <c r="AL198" s="9">
        <v>25</v>
      </c>
      <c r="AM198" s="9"/>
      <c r="AN198" s="9" t="s">
        <v>149</v>
      </c>
      <c r="AO198" s="9" t="s">
        <v>754</v>
      </c>
      <c r="AP198" s="9" t="s">
        <v>755</v>
      </c>
      <c r="AQ198" s="9" t="s">
        <v>756</v>
      </c>
      <c r="AR198" s="9" t="s">
        <v>756</v>
      </c>
      <c r="AS198" s="9" t="s">
        <v>68</v>
      </c>
      <c r="AT198" s="9" t="s">
        <v>69</v>
      </c>
      <c r="AU198" s="9"/>
      <c r="AV198" s="9">
        <v>28</v>
      </c>
    </row>
    <row r="199" spans="1:48">
      <c r="A199" s="9">
        <f t="shared" si="3"/>
        <v>198</v>
      </c>
      <c r="B199" s="9" t="s">
        <v>855</v>
      </c>
      <c r="C199" s="9" t="s">
        <v>862</v>
      </c>
      <c r="D199" s="9">
        <v>0</v>
      </c>
      <c r="E199" s="9">
        <v>0</v>
      </c>
      <c r="F199" s="9" t="s">
        <v>72</v>
      </c>
      <c r="G199" s="9" t="s">
        <v>863</v>
      </c>
      <c r="H199" s="9"/>
      <c r="I199" s="9"/>
      <c r="J199" s="9" t="s">
        <v>53</v>
      </c>
      <c r="K199" s="9" t="s">
        <v>97</v>
      </c>
      <c r="L199" s="9" t="s">
        <v>864</v>
      </c>
      <c r="M199" s="9" t="s">
        <v>56</v>
      </c>
      <c r="N199" s="9" t="s">
        <v>145</v>
      </c>
      <c r="O199" s="9">
        <v>7</v>
      </c>
      <c r="P199" s="9" t="s">
        <v>58</v>
      </c>
      <c r="Q199" s="9">
        <v>616</v>
      </c>
      <c r="R199" s="9">
        <v>12.468</v>
      </c>
      <c r="S199" s="9"/>
      <c r="T199" s="9">
        <v>160</v>
      </c>
      <c r="U199" s="9">
        <v>4</v>
      </c>
      <c r="V199" s="9">
        <v>1</v>
      </c>
      <c r="W199" s="9">
        <v>1</v>
      </c>
      <c r="X199" s="9">
        <v>162.773</v>
      </c>
      <c r="Y199" s="9">
        <v>63.904413</v>
      </c>
      <c r="Z199" s="9">
        <v>1.5</v>
      </c>
      <c r="AA199" s="9">
        <v>512</v>
      </c>
      <c r="AB199" s="9">
        <v>512</v>
      </c>
      <c r="AC199" s="9" t="s">
        <v>507</v>
      </c>
      <c r="AD199" s="9">
        <v>4</v>
      </c>
      <c r="AE199" s="9">
        <v>4.5</v>
      </c>
      <c r="AF199" s="9" t="s">
        <v>234</v>
      </c>
      <c r="AG199" s="9"/>
      <c r="AH199" s="9" t="s">
        <v>77</v>
      </c>
      <c r="AI199" s="9">
        <v>100</v>
      </c>
      <c r="AJ199" s="9">
        <v>100</v>
      </c>
      <c r="AK199" s="9" t="s">
        <v>865</v>
      </c>
      <c r="AL199" s="9">
        <v>8</v>
      </c>
      <c r="AM199" s="9"/>
      <c r="AN199" s="9" t="s">
        <v>149</v>
      </c>
      <c r="AO199" s="9" t="s">
        <v>754</v>
      </c>
      <c r="AP199" s="9" t="s">
        <v>755</v>
      </c>
      <c r="AQ199" s="9" t="s">
        <v>756</v>
      </c>
      <c r="AR199" s="9" t="s">
        <v>756</v>
      </c>
      <c r="AS199" s="9" t="s">
        <v>68</v>
      </c>
      <c r="AT199" s="9" t="s">
        <v>69</v>
      </c>
      <c r="AU199" s="9"/>
      <c r="AV199" s="9">
        <v>28</v>
      </c>
    </row>
    <row r="200" spans="1:48">
      <c r="A200" s="9">
        <f t="shared" si="3"/>
        <v>199</v>
      </c>
      <c r="B200" s="9" t="s">
        <v>855</v>
      </c>
      <c r="C200" s="9" t="s">
        <v>866</v>
      </c>
      <c r="D200" s="9">
        <v>1</v>
      </c>
      <c r="E200" s="9">
        <v>1</v>
      </c>
      <c r="F200" s="9" t="s">
        <v>91</v>
      </c>
      <c r="G200" s="9" t="s">
        <v>867</v>
      </c>
      <c r="H200" s="9"/>
      <c r="I200" s="9"/>
      <c r="J200" s="9" t="s">
        <v>53</v>
      </c>
      <c r="K200" s="9" t="s">
        <v>97</v>
      </c>
      <c r="L200" s="9" t="s">
        <v>868</v>
      </c>
      <c r="M200" s="9" t="s">
        <v>56</v>
      </c>
      <c r="N200" s="9" t="s">
        <v>145</v>
      </c>
      <c r="O200" s="9">
        <v>3</v>
      </c>
      <c r="P200" s="9" t="s">
        <v>58</v>
      </c>
      <c r="Q200" s="9">
        <v>3523</v>
      </c>
      <c r="R200" s="9">
        <v>38.06</v>
      </c>
      <c r="S200" s="9"/>
      <c r="T200" s="9">
        <v>160</v>
      </c>
      <c r="U200" s="9">
        <v>9</v>
      </c>
      <c r="V200" s="9">
        <v>1</v>
      </c>
      <c r="W200" s="9">
        <v>2</v>
      </c>
      <c r="X200" s="9">
        <v>122.07</v>
      </c>
      <c r="Y200" s="9">
        <v>63.904409</v>
      </c>
      <c r="Z200" s="9">
        <v>1.5</v>
      </c>
      <c r="AA200" s="9">
        <v>512</v>
      </c>
      <c r="AB200" s="9">
        <v>512</v>
      </c>
      <c r="AC200" s="9" t="s">
        <v>716</v>
      </c>
      <c r="AD200" s="9">
        <v>4</v>
      </c>
      <c r="AE200" s="9">
        <v>4.5</v>
      </c>
      <c r="AF200" s="9" t="s">
        <v>869</v>
      </c>
      <c r="AG200" s="9"/>
      <c r="AH200" s="9" t="s">
        <v>61</v>
      </c>
      <c r="AI200" s="9">
        <v>100</v>
      </c>
      <c r="AJ200" s="9">
        <v>100</v>
      </c>
      <c r="AK200" s="9" t="s">
        <v>870</v>
      </c>
      <c r="AL200" s="9">
        <v>24</v>
      </c>
      <c r="AM200" s="9"/>
      <c r="AN200" s="9" t="s">
        <v>149</v>
      </c>
      <c r="AO200" s="9" t="s">
        <v>754</v>
      </c>
      <c r="AP200" s="9" t="s">
        <v>755</v>
      </c>
      <c r="AQ200" s="9" t="s">
        <v>756</v>
      </c>
      <c r="AR200" s="9" t="s">
        <v>756</v>
      </c>
      <c r="AS200" s="9" t="s">
        <v>68</v>
      </c>
      <c r="AT200" s="9" t="s">
        <v>69</v>
      </c>
      <c r="AU200" s="9"/>
      <c r="AV200" s="9">
        <v>34</v>
      </c>
    </row>
    <row r="201" spans="1:48">
      <c r="A201" s="9">
        <f t="shared" si="3"/>
        <v>200</v>
      </c>
      <c r="B201" s="9" t="s">
        <v>855</v>
      </c>
      <c r="C201" s="9" t="s">
        <v>871</v>
      </c>
      <c r="D201" s="9">
        <v>1</v>
      </c>
      <c r="E201" s="9">
        <v>1</v>
      </c>
      <c r="F201" s="9" t="s">
        <v>50</v>
      </c>
      <c r="G201" s="9" t="s">
        <v>872</v>
      </c>
      <c r="H201" s="9"/>
      <c r="I201" s="9"/>
      <c r="J201" s="9" t="s">
        <v>53</v>
      </c>
      <c r="K201" s="9" t="s">
        <v>143</v>
      </c>
      <c r="L201" s="9" t="s">
        <v>769</v>
      </c>
      <c r="M201" s="9" t="s">
        <v>56</v>
      </c>
      <c r="N201" s="9" t="s">
        <v>145</v>
      </c>
      <c r="O201" s="9">
        <v>4</v>
      </c>
      <c r="P201" s="9" t="s">
        <v>58</v>
      </c>
      <c r="Q201" s="9">
        <v>2494</v>
      </c>
      <c r="R201" s="9">
        <v>35.46</v>
      </c>
      <c r="S201" s="9"/>
      <c r="T201" s="9">
        <v>160</v>
      </c>
      <c r="U201" s="9">
        <v>9</v>
      </c>
      <c r="V201" s="9">
        <v>1</v>
      </c>
      <c r="W201" s="9">
        <v>1</v>
      </c>
      <c r="X201" s="9">
        <v>217.031</v>
      </c>
      <c r="Y201" s="9">
        <v>63.904428</v>
      </c>
      <c r="Z201" s="9">
        <v>1.5</v>
      </c>
      <c r="AA201" s="9">
        <v>256</v>
      </c>
      <c r="AB201" s="9">
        <v>256</v>
      </c>
      <c r="AC201" s="9" t="s">
        <v>859</v>
      </c>
      <c r="AD201" s="9">
        <v>4</v>
      </c>
      <c r="AE201" s="9">
        <v>4.5</v>
      </c>
      <c r="AF201" s="9" t="s">
        <v>869</v>
      </c>
      <c r="AG201" s="9"/>
      <c r="AH201" s="9" t="s">
        <v>61</v>
      </c>
      <c r="AI201" s="9">
        <v>100</v>
      </c>
      <c r="AJ201" s="9">
        <v>100</v>
      </c>
      <c r="AK201" s="9" t="s">
        <v>873</v>
      </c>
      <c r="AL201" s="9">
        <v>3</v>
      </c>
      <c r="AM201" s="9"/>
      <c r="AN201" s="9" t="s">
        <v>149</v>
      </c>
      <c r="AO201" s="9" t="s">
        <v>754</v>
      </c>
      <c r="AP201" s="9" t="s">
        <v>755</v>
      </c>
      <c r="AQ201" s="9" t="s">
        <v>756</v>
      </c>
      <c r="AR201" s="9" t="s">
        <v>756</v>
      </c>
      <c r="AS201" s="9" t="s">
        <v>68</v>
      </c>
      <c r="AT201" s="9" t="s">
        <v>69</v>
      </c>
      <c r="AU201" s="9"/>
      <c r="AV201" s="9">
        <v>22</v>
      </c>
    </row>
    <row r="202" spans="1:48">
      <c r="A202" s="9">
        <f t="shared" si="3"/>
        <v>201</v>
      </c>
      <c r="B202" s="9" t="s">
        <v>855</v>
      </c>
      <c r="C202" s="9" t="s">
        <v>874</v>
      </c>
      <c r="D202" s="9">
        <v>0</v>
      </c>
      <c r="E202" s="9">
        <v>0</v>
      </c>
      <c r="F202" s="9" t="s">
        <v>50</v>
      </c>
      <c r="G202" s="9" t="s">
        <v>875</v>
      </c>
      <c r="H202" s="9"/>
      <c r="I202" s="9"/>
      <c r="J202" s="9" t="s">
        <v>53</v>
      </c>
      <c r="K202" s="9" t="s">
        <v>143</v>
      </c>
      <c r="L202" s="9" t="s">
        <v>876</v>
      </c>
      <c r="M202" s="9" t="s">
        <v>56</v>
      </c>
      <c r="N202" s="9" t="s">
        <v>145</v>
      </c>
      <c r="O202" s="9">
        <v>5</v>
      </c>
      <c r="P202" s="9" t="s">
        <v>58</v>
      </c>
      <c r="Q202" s="9">
        <v>533</v>
      </c>
      <c r="R202" s="9">
        <v>9.18</v>
      </c>
      <c r="S202" s="9"/>
      <c r="T202" s="9">
        <v>160</v>
      </c>
      <c r="U202" s="9">
        <v>4</v>
      </c>
      <c r="V202" s="9">
        <v>1</v>
      </c>
      <c r="W202" s="9">
        <v>1</v>
      </c>
      <c r="X202" s="9">
        <v>162.773</v>
      </c>
      <c r="Y202" s="9">
        <v>63.904428</v>
      </c>
      <c r="Z202" s="9">
        <v>1.5</v>
      </c>
      <c r="AA202" s="9">
        <v>512</v>
      </c>
      <c r="AB202" s="9">
        <v>512</v>
      </c>
      <c r="AC202" s="9" t="s">
        <v>716</v>
      </c>
      <c r="AD202" s="9">
        <v>4</v>
      </c>
      <c r="AE202" s="9">
        <v>4.5</v>
      </c>
      <c r="AF202" s="9" t="s">
        <v>869</v>
      </c>
      <c r="AG202" s="9"/>
      <c r="AH202" s="9" t="s">
        <v>61</v>
      </c>
      <c r="AI202" s="9">
        <v>100</v>
      </c>
      <c r="AJ202" s="9">
        <v>100</v>
      </c>
      <c r="AK202" s="9" t="s">
        <v>877</v>
      </c>
      <c r="AL202" s="9">
        <v>16</v>
      </c>
      <c r="AM202" s="9"/>
      <c r="AN202" s="9" t="s">
        <v>149</v>
      </c>
      <c r="AO202" s="9" t="s">
        <v>754</v>
      </c>
      <c r="AP202" s="9" t="s">
        <v>755</v>
      </c>
      <c r="AQ202" s="9" t="s">
        <v>756</v>
      </c>
      <c r="AR202" s="9" t="s">
        <v>756</v>
      </c>
      <c r="AS202" s="9" t="s">
        <v>68</v>
      </c>
      <c r="AT202" s="9" t="s">
        <v>69</v>
      </c>
      <c r="AU202" s="9"/>
      <c r="AV202" s="9">
        <v>22</v>
      </c>
    </row>
    <row r="203" spans="1:48">
      <c r="A203" s="9">
        <f t="shared" si="3"/>
        <v>202</v>
      </c>
      <c r="B203" s="9" t="s">
        <v>878</v>
      </c>
      <c r="C203" s="9" t="s">
        <v>879</v>
      </c>
      <c r="D203" s="9">
        <v>1</v>
      </c>
      <c r="E203" s="9">
        <v>1</v>
      </c>
      <c r="F203" s="9" t="s">
        <v>91</v>
      </c>
      <c r="G203" s="9" t="s">
        <v>92</v>
      </c>
      <c r="H203" s="9"/>
      <c r="I203" s="9" t="s">
        <v>81</v>
      </c>
      <c r="J203" s="9" t="s">
        <v>53</v>
      </c>
      <c r="K203" s="9" t="s">
        <v>54</v>
      </c>
      <c r="L203" s="9" t="s">
        <v>82</v>
      </c>
      <c r="M203" s="9" t="s">
        <v>56</v>
      </c>
      <c r="N203" s="9" t="s">
        <v>57</v>
      </c>
      <c r="O203" s="9">
        <v>3001</v>
      </c>
      <c r="P203" s="9" t="s">
        <v>58</v>
      </c>
      <c r="Q203" s="9">
        <v>2520</v>
      </c>
      <c r="R203" s="9">
        <v>40</v>
      </c>
      <c r="S203" s="9"/>
      <c r="T203" s="9">
        <v>150</v>
      </c>
      <c r="U203" s="9">
        <v>7</v>
      </c>
      <c r="V203" s="9"/>
      <c r="W203" s="9">
        <v>1</v>
      </c>
      <c r="X203" s="9">
        <v>130</v>
      </c>
      <c r="Y203" s="9">
        <v>63.676212</v>
      </c>
      <c r="Z203" s="9">
        <v>1.5</v>
      </c>
      <c r="AA203" s="9">
        <v>320</v>
      </c>
      <c r="AB203" s="9">
        <v>320</v>
      </c>
      <c r="AC203" s="9" t="s">
        <v>335</v>
      </c>
      <c r="AD203" s="9">
        <v>3.5</v>
      </c>
      <c r="AE203" s="9">
        <v>3.85</v>
      </c>
      <c r="AF203" s="9" t="s">
        <v>84</v>
      </c>
      <c r="AG203" s="9"/>
      <c r="AH203" s="9" t="s">
        <v>77</v>
      </c>
      <c r="AI203" s="9">
        <v>70</v>
      </c>
      <c r="AJ203" s="9">
        <v>100</v>
      </c>
      <c r="AK203" s="9" t="s">
        <v>880</v>
      </c>
      <c r="AL203" s="9">
        <v>8</v>
      </c>
      <c r="AM203" s="9"/>
      <c r="AN203" s="9" t="s">
        <v>63</v>
      </c>
      <c r="AO203" s="9" t="s">
        <v>64</v>
      </c>
      <c r="AP203" s="9" t="s">
        <v>65</v>
      </c>
      <c r="AQ203" s="9" t="s">
        <v>66</v>
      </c>
      <c r="AR203" s="9" t="s">
        <v>67</v>
      </c>
      <c r="AS203" s="9" t="s">
        <v>68</v>
      </c>
      <c r="AT203" s="9" t="s">
        <v>69</v>
      </c>
      <c r="AU203" s="9" t="s">
        <v>214</v>
      </c>
      <c r="AV203" s="9">
        <v>37</v>
      </c>
    </row>
    <row r="204" spans="1:48">
      <c r="A204" s="9">
        <f t="shared" si="3"/>
        <v>203</v>
      </c>
      <c r="B204" s="9" t="s">
        <v>878</v>
      </c>
      <c r="C204" s="9" t="s">
        <v>881</v>
      </c>
      <c r="D204" s="9">
        <v>0</v>
      </c>
      <c r="E204" s="9">
        <v>0</v>
      </c>
      <c r="F204" s="9" t="s">
        <v>72</v>
      </c>
      <c r="G204" s="9" t="s">
        <v>73</v>
      </c>
      <c r="H204" s="9"/>
      <c r="I204" s="9" t="s">
        <v>74</v>
      </c>
      <c r="J204" s="9" t="s">
        <v>53</v>
      </c>
      <c r="K204" s="9" t="s">
        <v>54</v>
      </c>
      <c r="L204" s="9" t="s">
        <v>55</v>
      </c>
      <c r="M204" s="9" t="s">
        <v>56</v>
      </c>
      <c r="N204" s="9" t="s">
        <v>57</v>
      </c>
      <c r="O204" s="9">
        <v>6001</v>
      </c>
      <c r="P204" s="9" t="s">
        <v>58</v>
      </c>
      <c r="Q204" s="9">
        <v>560</v>
      </c>
      <c r="R204" s="9">
        <v>12</v>
      </c>
      <c r="S204" s="9"/>
      <c r="T204" s="9">
        <v>160</v>
      </c>
      <c r="U204" s="9">
        <v>3</v>
      </c>
      <c r="V204" s="9"/>
      <c r="W204" s="9">
        <v>1</v>
      </c>
      <c r="X204" s="9">
        <v>181</v>
      </c>
      <c r="Y204" s="9">
        <v>63.676221</v>
      </c>
      <c r="Z204" s="9">
        <v>1.5</v>
      </c>
      <c r="AA204" s="9">
        <v>384</v>
      </c>
      <c r="AB204" s="9">
        <v>384</v>
      </c>
      <c r="AC204" s="9" t="s">
        <v>345</v>
      </c>
      <c r="AD204" s="9">
        <v>3</v>
      </c>
      <c r="AE204" s="9">
        <v>3.3</v>
      </c>
      <c r="AF204" s="9" t="s">
        <v>76</v>
      </c>
      <c r="AG204" s="9"/>
      <c r="AH204" s="9" t="s">
        <v>77</v>
      </c>
      <c r="AI204" s="9">
        <v>80</v>
      </c>
      <c r="AJ204" s="9">
        <v>100</v>
      </c>
      <c r="AK204" s="9" t="s">
        <v>882</v>
      </c>
      <c r="AL204" s="9">
        <v>11</v>
      </c>
      <c r="AM204" s="9"/>
      <c r="AN204" s="9" t="s">
        <v>63</v>
      </c>
      <c r="AO204" s="9" t="s">
        <v>64</v>
      </c>
      <c r="AP204" s="9" t="s">
        <v>65</v>
      </c>
      <c r="AQ204" s="9" t="s">
        <v>66</v>
      </c>
      <c r="AR204" s="9" t="s">
        <v>67</v>
      </c>
      <c r="AS204" s="9" t="s">
        <v>68</v>
      </c>
      <c r="AT204" s="9" t="s">
        <v>69</v>
      </c>
      <c r="AU204" s="9" t="s">
        <v>214</v>
      </c>
      <c r="AV204" s="9">
        <v>36</v>
      </c>
    </row>
    <row r="205" spans="1:48">
      <c r="A205" s="9">
        <f t="shared" si="3"/>
        <v>204</v>
      </c>
      <c r="B205" s="9" t="s">
        <v>878</v>
      </c>
      <c r="C205" s="9" t="s">
        <v>883</v>
      </c>
      <c r="D205" s="9">
        <v>1</v>
      </c>
      <c r="E205" s="9">
        <v>1</v>
      </c>
      <c r="F205" s="9" t="s">
        <v>50</v>
      </c>
      <c r="G205" s="9" t="s">
        <v>87</v>
      </c>
      <c r="H205" s="9"/>
      <c r="I205" s="9" t="s">
        <v>81</v>
      </c>
      <c r="J205" s="9" t="s">
        <v>53</v>
      </c>
      <c r="K205" s="9" t="s">
        <v>54</v>
      </c>
      <c r="L205" s="9" t="s">
        <v>82</v>
      </c>
      <c r="M205" s="9" t="s">
        <v>56</v>
      </c>
      <c r="N205" s="9" t="s">
        <v>57</v>
      </c>
      <c r="O205" s="9">
        <v>7001</v>
      </c>
      <c r="P205" s="9" t="s">
        <v>58</v>
      </c>
      <c r="Q205" s="9">
        <v>5320</v>
      </c>
      <c r="R205" s="9">
        <v>40</v>
      </c>
      <c r="S205" s="9"/>
      <c r="T205" s="9">
        <v>150</v>
      </c>
      <c r="U205" s="9">
        <v>7</v>
      </c>
      <c r="V205" s="9"/>
      <c r="W205" s="9">
        <v>1</v>
      </c>
      <c r="X205" s="9">
        <v>130</v>
      </c>
      <c r="Y205" s="9">
        <v>63.676218</v>
      </c>
      <c r="Z205" s="9">
        <v>1.5</v>
      </c>
      <c r="AA205" s="9">
        <v>320</v>
      </c>
      <c r="AB205" s="9">
        <v>320</v>
      </c>
      <c r="AC205" s="9" t="s">
        <v>335</v>
      </c>
      <c r="AD205" s="9">
        <v>2.5</v>
      </c>
      <c r="AE205" s="9">
        <v>2.75</v>
      </c>
      <c r="AF205" s="9" t="s">
        <v>88</v>
      </c>
      <c r="AG205" s="9"/>
      <c r="AH205" s="9" t="s">
        <v>61</v>
      </c>
      <c r="AI205" s="9">
        <v>70</v>
      </c>
      <c r="AJ205" s="9">
        <v>100</v>
      </c>
      <c r="AK205" s="9" t="s">
        <v>884</v>
      </c>
      <c r="AL205" s="9">
        <v>26</v>
      </c>
      <c r="AM205" s="9"/>
      <c r="AN205" s="9" t="s">
        <v>63</v>
      </c>
      <c r="AO205" s="9" t="s">
        <v>64</v>
      </c>
      <c r="AP205" s="9" t="s">
        <v>65</v>
      </c>
      <c r="AQ205" s="9" t="s">
        <v>66</v>
      </c>
      <c r="AR205" s="9" t="s">
        <v>67</v>
      </c>
      <c r="AS205" s="9" t="s">
        <v>68</v>
      </c>
      <c r="AT205" s="9" t="s">
        <v>69</v>
      </c>
      <c r="AU205" s="9" t="s">
        <v>214</v>
      </c>
      <c r="AV205" s="9">
        <v>40</v>
      </c>
    </row>
    <row r="206" spans="1:48">
      <c r="A206" s="9">
        <f t="shared" si="3"/>
        <v>205</v>
      </c>
      <c r="B206" s="9" t="s">
        <v>878</v>
      </c>
      <c r="C206" s="9" t="s">
        <v>885</v>
      </c>
      <c r="D206" s="9">
        <v>1</v>
      </c>
      <c r="E206" s="9">
        <v>1</v>
      </c>
      <c r="F206" s="9" t="s">
        <v>72</v>
      </c>
      <c r="G206" s="9" t="s">
        <v>80</v>
      </c>
      <c r="H206" s="9"/>
      <c r="I206" s="9" t="s">
        <v>81</v>
      </c>
      <c r="J206" s="9" t="s">
        <v>53</v>
      </c>
      <c r="K206" s="9" t="s">
        <v>54</v>
      </c>
      <c r="L206" s="9" t="s">
        <v>82</v>
      </c>
      <c r="M206" s="9" t="s">
        <v>56</v>
      </c>
      <c r="N206" s="9" t="s">
        <v>57</v>
      </c>
      <c r="O206" s="9">
        <v>5001</v>
      </c>
      <c r="P206" s="9" t="s">
        <v>58</v>
      </c>
      <c r="Q206" s="9">
        <v>4770</v>
      </c>
      <c r="R206" s="9">
        <v>40</v>
      </c>
      <c r="S206" s="9"/>
      <c r="T206" s="9">
        <v>150</v>
      </c>
      <c r="U206" s="9">
        <v>7</v>
      </c>
      <c r="V206" s="9"/>
      <c r="W206" s="9">
        <v>1</v>
      </c>
      <c r="X206" s="9">
        <v>130</v>
      </c>
      <c r="Y206" s="9">
        <v>63.676211</v>
      </c>
      <c r="Z206" s="9">
        <v>1.5</v>
      </c>
      <c r="AA206" s="9">
        <v>320</v>
      </c>
      <c r="AB206" s="9">
        <v>320</v>
      </c>
      <c r="AC206" s="9" t="s">
        <v>83</v>
      </c>
      <c r="AD206" s="9">
        <v>3</v>
      </c>
      <c r="AE206" s="9">
        <v>3.3</v>
      </c>
      <c r="AF206" s="9" t="s">
        <v>84</v>
      </c>
      <c r="AG206" s="9"/>
      <c r="AH206" s="9" t="s">
        <v>77</v>
      </c>
      <c r="AI206" s="9">
        <v>70</v>
      </c>
      <c r="AJ206" s="9">
        <v>100</v>
      </c>
      <c r="AK206" s="9" t="s">
        <v>886</v>
      </c>
      <c r="AL206" s="9">
        <v>25</v>
      </c>
      <c r="AM206" s="9"/>
      <c r="AN206" s="9" t="s">
        <v>63</v>
      </c>
      <c r="AO206" s="9" t="s">
        <v>64</v>
      </c>
      <c r="AP206" s="9" t="s">
        <v>65</v>
      </c>
      <c r="AQ206" s="9" t="s">
        <v>66</v>
      </c>
      <c r="AR206" s="9" t="s">
        <v>67</v>
      </c>
      <c r="AS206" s="9" t="s">
        <v>68</v>
      </c>
      <c r="AT206" s="9" t="s">
        <v>69</v>
      </c>
      <c r="AU206" s="9" t="s">
        <v>214</v>
      </c>
      <c r="AV206" s="9">
        <v>36</v>
      </c>
    </row>
    <row r="207" spans="1:48">
      <c r="A207" s="9">
        <f t="shared" si="3"/>
        <v>206</v>
      </c>
      <c r="B207" s="9" t="s">
        <v>878</v>
      </c>
      <c r="C207" s="9" t="s">
        <v>887</v>
      </c>
      <c r="D207" s="9">
        <v>0</v>
      </c>
      <c r="E207" s="9">
        <v>0</v>
      </c>
      <c r="F207" s="9" t="s">
        <v>50</v>
      </c>
      <c r="G207" s="9" t="s">
        <v>51</v>
      </c>
      <c r="H207" s="9"/>
      <c r="I207" s="9" t="s">
        <v>52</v>
      </c>
      <c r="J207" s="9" t="s">
        <v>53</v>
      </c>
      <c r="K207" s="9" t="s">
        <v>54</v>
      </c>
      <c r="L207" s="9" t="s">
        <v>55</v>
      </c>
      <c r="M207" s="9" t="s">
        <v>56</v>
      </c>
      <c r="N207" s="9" t="s">
        <v>57</v>
      </c>
      <c r="O207" s="9">
        <v>8001</v>
      </c>
      <c r="P207" s="9" t="s">
        <v>58</v>
      </c>
      <c r="Q207" s="9">
        <v>7300</v>
      </c>
      <c r="R207" s="9">
        <v>75</v>
      </c>
      <c r="S207" s="9"/>
      <c r="T207" s="9">
        <v>150</v>
      </c>
      <c r="U207" s="9">
        <v>13</v>
      </c>
      <c r="V207" s="9"/>
      <c r="W207" s="9">
        <v>1</v>
      </c>
      <c r="X207" s="9">
        <v>160</v>
      </c>
      <c r="Y207" s="9">
        <v>63.676221</v>
      </c>
      <c r="Z207" s="9">
        <v>1.5</v>
      </c>
      <c r="AA207" s="9">
        <v>400</v>
      </c>
      <c r="AB207" s="9">
        <v>400</v>
      </c>
      <c r="AC207" s="9" t="s">
        <v>888</v>
      </c>
      <c r="AD207" s="9">
        <v>2.5</v>
      </c>
      <c r="AE207" s="9">
        <v>2.75</v>
      </c>
      <c r="AF207" s="9" t="s">
        <v>60</v>
      </c>
      <c r="AG207" s="9"/>
      <c r="AH207" s="9" t="s">
        <v>61</v>
      </c>
      <c r="AI207" s="9">
        <v>70</v>
      </c>
      <c r="AJ207" s="9">
        <v>100</v>
      </c>
      <c r="AK207" s="9" t="s">
        <v>884</v>
      </c>
      <c r="AL207" s="9">
        <v>17</v>
      </c>
      <c r="AM207" s="9"/>
      <c r="AN207" s="9" t="s">
        <v>63</v>
      </c>
      <c r="AO207" s="9" t="s">
        <v>64</v>
      </c>
      <c r="AP207" s="9" t="s">
        <v>65</v>
      </c>
      <c r="AQ207" s="9" t="s">
        <v>66</v>
      </c>
      <c r="AR207" s="9" t="s">
        <v>67</v>
      </c>
      <c r="AS207" s="9" t="s">
        <v>68</v>
      </c>
      <c r="AT207" s="9" t="s">
        <v>69</v>
      </c>
      <c r="AU207" s="9" t="s">
        <v>214</v>
      </c>
      <c r="AV207" s="9">
        <v>40</v>
      </c>
    </row>
    <row r="208" spans="1:48">
      <c r="A208" s="9">
        <f t="shared" si="3"/>
        <v>207</v>
      </c>
      <c r="B208" s="9" t="s">
        <v>889</v>
      </c>
      <c r="C208" s="9" t="s">
        <v>890</v>
      </c>
      <c r="D208" s="9">
        <v>0</v>
      </c>
      <c r="E208" s="9">
        <v>0</v>
      </c>
      <c r="F208" s="9" t="s">
        <v>72</v>
      </c>
      <c r="G208" s="9" t="s">
        <v>891</v>
      </c>
      <c r="H208" s="9"/>
      <c r="I208" s="9"/>
      <c r="J208" s="9" t="s">
        <v>53</v>
      </c>
      <c r="K208" s="9" t="s">
        <v>97</v>
      </c>
      <c r="L208" s="9" t="s">
        <v>98</v>
      </c>
      <c r="M208" s="9" t="s">
        <v>56</v>
      </c>
      <c r="N208" s="9" t="s">
        <v>99</v>
      </c>
      <c r="O208" s="9">
        <v>201</v>
      </c>
      <c r="P208" s="9" t="s">
        <v>58</v>
      </c>
      <c r="Q208" s="9">
        <v>2200</v>
      </c>
      <c r="R208" s="9">
        <v>40</v>
      </c>
      <c r="S208" s="9"/>
      <c r="T208" s="9">
        <v>90</v>
      </c>
      <c r="U208" s="9">
        <v>6</v>
      </c>
      <c r="V208" s="9">
        <v>1</v>
      </c>
      <c r="W208" s="9">
        <v>1</v>
      </c>
      <c r="X208" s="10">
        <v>183.769485473633</v>
      </c>
      <c r="Y208" s="9">
        <v>63.890272</v>
      </c>
      <c r="Z208" s="9">
        <v>1.5</v>
      </c>
      <c r="AA208" s="9">
        <v>560</v>
      </c>
      <c r="AB208" s="9">
        <v>560</v>
      </c>
      <c r="AC208" s="9" t="s">
        <v>892</v>
      </c>
      <c r="AD208" s="9">
        <v>4.5</v>
      </c>
      <c r="AE208" s="10">
        <v>4.94999980926514</v>
      </c>
      <c r="AF208" s="9" t="s">
        <v>893</v>
      </c>
      <c r="AG208" s="9"/>
      <c r="AH208" s="9" t="s">
        <v>77</v>
      </c>
      <c r="AI208" s="10">
        <v>81.5498123168945</v>
      </c>
      <c r="AJ208" s="10">
        <v>71.4285727108226</v>
      </c>
      <c r="AK208" s="9" t="s">
        <v>894</v>
      </c>
      <c r="AL208" s="9">
        <v>20</v>
      </c>
      <c r="AM208" s="9"/>
      <c r="AN208" s="9" t="s">
        <v>400</v>
      </c>
      <c r="AO208" s="9" t="s">
        <v>104</v>
      </c>
      <c r="AP208" s="9" t="s">
        <v>895</v>
      </c>
      <c r="AQ208" s="9" t="s">
        <v>896</v>
      </c>
      <c r="AR208" s="9" t="s">
        <v>404</v>
      </c>
      <c r="AS208" s="9" t="s">
        <v>68</v>
      </c>
      <c r="AT208" s="9" t="s">
        <v>69</v>
      </c>
      <c r="AU208" s="9" t="s">
        <v>214</v>
      </c>
      <c r="AV208" s="9">
        <v>26</v>
      </c>
    </row>
    <row r="209" spans="1:48">
      <c r="A209" s="9">
        <f t="shared" si="3"/>
        <v>208</v>
      </c>
      <c r="B209" s="9" t="s">
        <v>889</v>
      </c>
      <c r="C209" s="9" t="s">
        <v>897</v>
      </c>
      <c r="D209" s="9">
        <v>1</v>
      </c>
      <c r="E209" s="9">
        <v>1</v>
      </c>
      <c r="F209" s="9" t="s">
        <v>91</v>
      </c>
      <c r="G209" s="9" t="s">
        <v>898</v>
      </c>
      <c r="H209" s="9"/>
      <c r="I209" s="9"/>
      <c r="J209" s="9" t="s">
        <v>53</v>
      </c>
      <c r="K209" s="9" t="s">
        <v>97</v>
      </c>
      <c r="L209" s="9" t="s">
        <v>899</v>
      </c>
      <c r="M209" s="9" t="s">
        <v>56</v>
      </c>
      <c r="N209" s="9" t="s">
        <v>99</v>
      </c>
      <c r="O209" s="9">
        <v>501</v>
      </c>
      <c r="P209" s="9" t="s">
        <v>58</v>
      </c>
      <c r="Q209" s="9">
        <v>4912</v>
      </c>
      <c r="R209" s="9">
        <v>70</v>
      </c>
      <c r="S209" s="9"/>
      <c r="T209" s="9">
        <v>90</v>
      </c>
      <c r="U209" s="9">
        <v>8</v>
      </c>
      <c r="V209" s="9">
        <v>1</v>
      </c>
      <c r="W209" s="9">
        <v>1</v>
      </c>
      <c r="X209" s="10">
        <v>110.973014831543</v>
      </c>
      <c r="Y209" s="9">
        <v>63.8903</v>
      </c>
      <c r="Z209" s="9">
        <v>1.5</v>
      </c>
      <c r="AA209" s="9">
        <v>512</v>
      </c>
      <c r="AB209" s="9">
        <v>512</v>
      </c>
      <c r="AC209" s="9" t="s">
        <v>311</v>
      </c>
      <c r="AD209" s="9">
        <v>5</v>
      </c>
      <c r="AE209" s="9">
        <v>5.5</v>
      </c>
      <c r="AF209" s="9" t="s">
        <v>900</v>
      </c>
      <c r="AG209" s="9"/>
      <c r="AH209" s="9" t="s">
        <v>77</v>
      </c>
      <c r="AI209" s="10">
        <v>79.9019622802734</v>
      </c>
      <c r="AJ209" s="9">
        <v>79.6875</v>
      </c>
      <c r="AK209" s="9" t="s">
        <v>901</v>
      </c>
      <c r="AL209" s="9">
        <v>16</v>
      </c>
      <c r="AM209" s="9"/>
      <c r="AN209" s="9" t="s">
        <v>400</v>
      </c>
      <c r="AO209" s="9" t="s">
        <v>104</v>
      </c>
      <c r="AP209" s="9" t="s">
        <v>895</v>
      </c>
      <c r="AQ209" s="9" t="s">
        <v>896</v>
      </c>
      <c r="AR209" s="9" t="s">
        <v>404</v>
      </c>
      <c r="AS209" s="9" t="s">
        <v>68</v>
      </c>
      <c r="AT209" s="9" t="s">
        <v>69</v>
      </c>
      <c r="AU209" s="9" t="s">
        <v>214</v>
      </c>
      <c r="AV209" s="9">
        <v>30</v>
      </c>
    </row>
    <row r="210" spans="1:48">
      <c r="A210" s="9">
        <f t="shared" si="3"/>
        <v>209</v>
      </c>
      <c r="B210" s="9" t="s">
        <v>889</v>
      </c>
      <c r="C210" s="9" t="s">
        <v>902</v>
      </c>
      <c r="D210" s="9">
        <v>1</v>
      </c>
      <c r="E210" s="9">
        <v>1</v>
      </c>
      <c r="F210" s="9" t="s">
        <v>50</v>
      </c>
      <c r="G210" s="9" t="s">
        <v>903</v>
      </c>
      <c r="H210" s="9"/>
      <c r="I210" s="9"/>
      <c r="J210" s="9" t="s">
        <v>53</v>
      </c>
      <c r="K210" s="9" t="s">
        <v>97</v>
      </c>
      <c r="L210" s="9" t="s">
        <v>904</v>
      </c>
      <c r="M210" s="9" t="s">
        <v>615</v>
      </c>
      <c r="N210" s="9" t="s">
        <v>99</v>
      </c>
      <c r="O210" s="9">
        <v>401</v>
      </c>
      <c r="P210" s="9" t="s">
        <v>58</v>
      </c>
      <c r="Q210" s="9">
        <v>1100</v>
      </c>
      <c r="R210" s="9">
        <v>23</v>
      </c>
      <c r="S210" s="9"/>
      <c r="T210" s="9">
        <v>90</v>
      </c>
      <c r="U210" s="9">
        <v>70</v>
      </c>
      <c r="V210" s="9">
        <v>1</v>
      </c>
      <c r="W210" s="9">
        <v>1</v>
      </c>
      <c r="X210" s="10">
        <v>670.016784667969</v>
      </c>
      <c r="Y210" s="9">
        <v>63.890272</v>
      </c>
      <c r="Z210" s="9">
        <v>1.5</v>
      </c>
      <c r="AA210" s="9">
        <v>640</v>
      </c>
      <c r="AB210" s="9">
        <v>640</v>
      </c>
      <c r="AC210" s="9" t="s">
        <v>905</v>
      </c>
      <c r="AD210" s="10">
        <v>0.80000001192092</v>
      </c>
      <c r="AE210" s="10">
        <v>0.40000000596046</v>
      </c>
      <c r="AF210" s="9" t="s">
        <v>906</v>
      </c>
      <c r="AG210" s="9"/>
      <c r="AH210" s="9" t="s">
        <v>77</v>
      </c>
      <c r="AI210" s="10">
        <v>78.8888854980469</v>
      </c>
      <c r="AJ210" s="10">
        <v>105.960262522978</v>
      </c>
      <c r="AK210" s="9" t="s">
        <v>907</v>
      </c>
      <c r="AL210" s="9">
        <v>119</v>
      </c>
      <c r="AM210" s="9"/>
      <c r="AN210" s="9" t="s">
        <v>400</v>
      </c>
      <c r="AO210" s="9" t="s">
        <v>104</v>
      </c>
      <c r="AP210" s="9" t="s">
        <v>895</v>
      </c>
      <c r="AQ210" s="9" t="s">
        <v>896</v>
      </c>
      <c r="AR210" s="9" t="s">
        <v>404</v>
      </c>
      <c r="AS210" s="9" t="s">
        <v>68</v>
      </c>
      <c r="AT210" s="9" t="s">
        <v>69</v>
      </c>
      <c r="AU210" s="9" t="s">
        <v>214</v>
      </c>
      <c r="AV210" s="9">
        <v>320</v>
      </c>
    </row>
    <row r="211" spans="1:48">
      <c r="A211" s="9">
        <f t="shared" si="3"/>
        <v>210</v>
      </c>
      <c r="B211" s="9" t="s">
        <v>889</v>
      </c>
      <c r="C211" s="9" t="s">
        <v>908</v>
      </c>
      <c r="D211" s="9">
        <v>0</v>
      </c>
      <c r="E211" s="9">
        <v>0</v>
      </c>
      <c r="F211" s="9" t="s">
        <v>50</v>
      </c>
      <c r="G211" s="9" t="s">
        <v>909</v>
      </c>
      <c r="H211" s="9"/>
      <c r="I211" s="9"/>
      <c r="J211" s="9" t="s">
        <v>53</v>
      </c>
      <c r="K211" s="9" t="s">
        <v>97</v>
      </c>
      <c r="L211" s="9" t="s">
        <v>461</v>
      </c>
      <c r="M211" s="9" t="s">
        <v>56</v>
      </c>
      <c r="N211" s="9" t="s">
        <v>99</v>
      </c>
      <c r="O211" s="9">
        <v>301</v>
      </c>
      <c r="P211" s="9" t="s">
        <v>58</v>
      </c>
      <c r="Q211" s="9">
        <v>1052</v>
      </c>
      <c r="R211" s="9">
        <v>30</v>
      </c>
      <c r="S211" s="9"/>
      <c r="T211" s="9">
        <v>90</v>
      </c>
      <c r="U211" s="9">
        <v>6</v>
      </c>
      <c r="V211" s="9">
        <v>1</v>
      </c>
      <c r="W211" s="9">
        <v>1</v>
      </c>
      <c r="X211" s="10">
        <v>197.847442626953</v>
      </c>
      <c r="Y211" s="9">
        <v>63.890272</v>
      </c>
      <c r="Z211" s="9">
        <v>1.5</v>
      </c>
      <c r="AA211" s="9">
        <v>640</v>
      </c>
      <c r="AB211" s="9">
        <v>640</v>
      </c>
      <c r="AC211" s="9" t="s">
        <v>910</v>
      </c>
      <c r="AD211" s="9">
        <v>4</v>
      </c>
      <c r="AE211" s="10">
        <v>4.40000009536743</v>
      </c>
      <c r="AF211" s="9" t="s">
        <v>911</v>
      </c>
      <c r="AG211" s="9"/>
      <c r="AH211" s="9" t="s">
        <v>61</v>
      </c>
      <c r="AI211" s="10">
        <v>80.1749267578125</v>
      </c>
      <c r="AJ211" s="10">
        <v>105.960264205933</v>
      </c>
      <c r="AK211" s="9" t="s">
        <v>907</v>
      </c>
      <c r="AL211" s="9">
        <v>22</v>
      </c>
      <c r="AM211" s="9"/>
      <c r="AN211" s="9" t="s">
        <v>400</v>
      </c>
      <c r="AO211" s="9" t="s">
        <v>104</v>
      </c>
      <c r="AP211" s="9" t="s">
        <v>895</v>
      </c>
      <c r="AQ211" s="9" t="s">
        <v>896</v>
      </c>
      <c r="AR211" s="9" t="s">
        <v>404</v>
      </c>
      <c r="AS211" s="9" t="s">
        <v>68</v>
      </c>
      <c r="AT211" s="9" t="s">
        <v>69</v>
      </c>
      <c r="AU211" s="9" t="s">
        <v>214</v>
      </c>
      <c r="AV211" s="9">
        <v>26</v>
      </c>
    </row>
    <row r="212" spans="1:48">
      <c r="A212" s="9">
        <f t="shared" si="3"/>
        <v>211</v>
      </c>
      <c r="B212" s="9" t="s">
        <v>912</v>
      </c>
      <c r="C212" s="9" t="s">
        <v>913</v>
      </c>
      <c r="D212" s="9">
        <v>0</v>
      </c>
      <c r="E212" s="9">
        <v>0</v>
      </c>
      <c r="F212" s="9" t="s">
        <v>72</v>
      </c>
      <c r="G212" s="9" t="s">
        <v>265</v>
      </c>
      <c r="H212" s="9"/>
      <c r="I212" s="9" t="s">
        <v>266</v>
      </c>
      <c r="J212" s="9" t="s">
        <v>53</v>
      </c>
      <c r="K212" s="9" t="s">
        <v>267</v>
      </c>
      <c r="L212" s="9" t="s">
        <v>268</v>
      </c>
      <c r="M212" s="9" t="s">
        <v>56</v>
      </c>
      <c r="N212" s="9" t="s">
        <v>269</v>
      </c>
      <c r="O212" s="9">
        <v>7</v>
      </c>
      <c r="P212" s="9" t="s">
        <v>58</v>
      </c>
      <c r="Q212" s="9">
        <v>490</v>
      </c>
      <c r="R212" s="9">
        <v>12</v>
      </c>
      <c r="S212" s="9"/>
      <c r="T212" s="9">
        <v>90</v>
      </c>
      <c r="U212" s="9">
        <v>1</v>
      </c>
      <c r="V212" s="9">
        <v>1</v>
      </c>
      <c r="W212" s="9">
        <v>1</v>
      </c>
      <c r="X212" s="9">
        <v>250</v>
      </c>
      <c r="Y212" s="9">
        <v>123.19442</v>
      </c>
      <c r="Z212" s="9">
        <v>3</v>
      </c>
      <c r="AA212" s="9">
        <v>384</v>
      </c>
      <c r="AB212" s="9">
        <v>384</v>
      </c>
      <c r="AC212" s="9" t="s">
        <v>75</v>
      </c>
      <c r="AD212" s="9">
        <v>3</v>
      </c>
      <c r="AE212" s="9">
        <v>3.3</v>
      </c>
      <c r="AF212" s="9" t="s">
        <v>271</v>
      </c>
      <c r="AG212" s="9"/>
      <c r="AH212" s="9" t="s">
        <v>77</v>
      </c>
      <c r="AI212" s="9">
        <v>70</v>
      </c>
      <c r="AJ212" s="9">
        <v>100</v>
      </c>
      <c r="AK212" s="9" t="s">
        <v>914</v>
      </c>
      <c r="AL212" s="9">
        <v>16</v>
      </c>
      <c r="AM212" s="9"/>
      <c r="AN212" s="9" t="s">
        <v>210</v>
      </c>
      <c r="AO212" s="9" t="s">
        <v>273</v>
      </c>
      <c r="AP212" s="9" t="s">
        <v>212</v>
      </c>
      <c r="AQ212" s="9"/>
      <c r="AR212" s="9" t="s">
        <v>274</v>
      </c>
      <c r="AS212" s="9" t="s">
        <v>68</v>
      </c>
      <c r="AT212" s="9" t="s">
        <v>69</v>
      </c>
      <c r="AU212" s="9" t="s">
        <v>214</v>
      </c>
      <c r="AV212" s="9">
        <v>30</v>
      </c>
    </row>
    <row r="213" spans="1:48">
      <c r="A213" s="9">
        <f t="shared" si="3"/>
        <v>212</v>
      </c>
      <c r="B213" s="9" t="s">
        <v>912</v>
      </c>
      <c r="C213" s="9" t="s">
        <v>915</v>
      </c>
      <c r="D213" s="9">
        <v>1</v>
      </c>
      <c r="E213" s="9">
        <v>1</v>
      </c>
      <c r="F213" s="9" t="s">
        <v>91</v>
      </c>
      <c r="G213" s="9" t="s">
        <v>276</v>
      </c>
      <c r="H213" s="9"/>
      <c r="I213" s="9" t="s">
        <v>277</v>
      </c>
      <c r="J213" s="9" t="s">
        <v>53</v>
      </c>
      <c r="K213" s="9" t="s">
        <v>206</v>
      </c>
      <c r="L213" s="9" t="s">
        <v>113</v>
      </c>
      <c r="M213" s="9" t="s">
        <v>56</v>
      </c>
      <c r="N213" s="9" t="s">
        <v>207</v>
      </c>
      <c r="O213" s="9">
        <v>5</v>
      </c>
      <c r="P213" s="9" t="s">
        <v>58</v>
      </c>
      <c r="Q213" s="9">
        <v>2740</v>
      </c>
      <c r="R213" s="9">
        <v>20</v>
      </c>
      <c r="S213" s="9"/>
      <c r="T213" s="9">
        <v>150</v>
      </c>
      <c r="U213" s="9">
        <v>6</v>
      </c>
      <c r="V213" s="9">
        <v>1</v>
      </c>
      <c r="W213" s="9">
        <v>2</v>
      </c>
      <c r="X213" s="9">
        <v>255</v>
      </c>
      <c r="Y213" s="9">
        <v>123.194443</v>
      </c>
      <c r="Z213" s="9">
        <v>3</v>
      </c>
      <c r="AA213" s="9">
        <v>640</v>
      </c>
      <c r="AB213" s="9">
        <v>640</v>
      </c>
      <c r="AC213" s="9" t="s">
        <v>222</v>
      </c>
      <c r="AD213" s="9">
        <v>3.5</v>
      </c>
      <c r="AE213" s="9">
        <v>4.55</v>
      </c>
      <c r="AF213" s="9" t="s">
        <v>84</v>
      </c>
      <c r="AG213" s="9"/>
      <c r="AH213" s="9" t="s">
        <v>77</v>
      </c>
      <c r="AI213" s="9">
        <v>70</v>
      </c>
      <c r="AJ213" s="9">
        <v>100</v>
      </c>
      <c r="AK213" s="9" t="s">
        <v>916</v>
      </c>
      <c r="AL213" s="9">
        <v>6</v>
      </c>
      <c r="AM213" s="9"/>
      <c r="AN213" s="9" t="s">
        <v>210</v>
      </c>
      <c r="AO213" s="9" t="s">
        <v>273</v>
      </c>
      <c r="AP213" s="9" t="s">
        <v>212</v>
      </c>
      <c r="AQ213" s="9"/>
      <c r="AR213" s="9" t="s">
        <v>274</v>
      </c>
      <c r="AS213" s="9" t="s">
        <v>68</v>
      </c>
      <c r="AT213" s="9" t="s">
        <v>69</v>
      </c>
      <c r="AU213" s="9" t="s">
        <v>214</v>
      </c>
      <c r="AV213" s="9">
        <v>30</v>
      </c>
    </row>
    <row r="214" spans="1:48">
      <c r="A214" s="9">
        <f t="shared" si="3"/>
        <v>213</v>
      </c>
      <c r="B214" s="9" t="s">
        <v>912</v>
      </c>
      <c r="C214" s="9" t="s">
        <v>917</v>
      </c>
      <c r="D214" s="9">
        <v>1</v>
      </c>
      <c r="E214" s="9">
        <v>1</v>
      </c>
      <c r="F214" s="9" t="s">
        <v>72</v>
      </c>
      <c r="G214" s="9" t="s">
        <v>292</v>
      </c>
      <c r="H214" s="9"/>
      <c r="I214" s="9" t="s">
        <v>293</v>
      </c>
      <c r="J214" s="9" t="s">
        <v>53</v>
      </c>
      <c r="K214" s="9" t="s">
        <v>206</v>
      </c>
      <c r="L214" s="9" t="s">
        <v>113</v>
      </c>
      <c r="M214" s="9" t="s">
        <v>56</v>
      </c>
      <c r="N214" s="9" t="s">
        <v>207</v>
      </c>
      <c r="O214" s="9">
        <v>6</v>
      </c>
      <c r="P214" s="9" t="s">
        <v>58</v>
      </c>
      <c r="Q214" s="9">
        <v>2530</v>
      </c>
      <c r="R214" s="9">
        <v>20</v>
      </c>
      <c r="S214" s="9"/>
      <c r="T214" s="9">
        <v>150</v>
      </c>
      <c r="U214" s="9">
        <v>6</v>
      </c>
      <c r="V214" s="9">
        <v>1</v>
      </c>
      <c r="W214" s="9">
        <v>2</v>
      </c>
      <c r="X214" s="9">
        <v>255</v>
      </c>
      <c r="Y214" s="9">
        <v>123.194469</v>
      </c>
      <c r="Z214" s="9">
        <v>3</v>
      </c>
      <c r="AA214" s="9">
        <v>320</v>
      </c>
      <c r="AB214" s="9">
        <v>320</v>
      </c>
      <c r="AC214" s="9" t="s">
        <v>393</v>
      </c>
      <c r="AD214" s="9">
        <v>3</v>
      </c>
      <c r="AE214" s="9">
        <v>3.3</v>
      </c>
      <c r="AF214" s="9" t="s">
        <v>84</v>
      </c>
      <c r="AG214" s="9"/>
      <c r="AH214" s="9" t="s">
        <v>77</v>
      </c>
      <c r="AI214" s="9">
        <v>70</v>
      </c>
      <c r="AJ214" s="9">
        <v>100</v>
      </c>
      <c r="AK214" s="9" t="s">
        <v>914</v>
      </c>
      <c r="AL214" s="9">
        <v>15</v>
      </c>
      <c r="AM214" s="9"/>
      <c r="AN214" s="9" t="s">
        <v>210</v>
      </c>
      <c r="AO214" s="9" t="s">
        <v>273</v>
      </c>
      <c r="AP214" s="9" t="s">
        <v>212</v>
      </c>
      <c r="AQ214" s="9"/>
      <c r="AR214" s="9" t="s">
        <v>274</v>
      </c>
      <c r="AS214" s="9" t="s">
        <v>68</v>
      </c>
      <c r="AT214" s="9" t="s">
        <v>69</v>
      </c>
      <c r="AU214" s="9" t="s">
        <v>214</v>
      </c>
      <c r="AV214" s="9">
        <v>30</v>
      </c>
    </row>
    <row r="215" spans="1:48">
      <c r="A215" s="9">
        <f t="shared" si="3"/>
        <v>214</v>
      </c>
      <c r="B215" s="9" t="s">
        <v>912</v>
      </c>
      <c r="C215" s="9" t="s">
        <v>918</v>
      </c>
      <c r="D215" s="9">
        <v>0</v>
      </c>
      <c r="E215" s="9">
        <v>0</v>
      </c>
      <c r="F215" s="9" t="s">
        <v>50</v>
      </c>
      <c r="G215" s="9" t="s">
        <v>284</v>
      </c>
      <c r="H215" s="9"/>
      <c r="I215" s="9" t="s">
        <v>285</v>
      </c>
      <c r="J215" s="9" t="s">
        <v>53</v>
      </c>
      <c r="K215" s="9" t="s">
        <v>206</v>
      </c>
      <c r="L215" s="9"/>
      <c r="M215" s="9" t="s">
        <v>56</v>
      </c>
      <c r="N215" s="9" t="s">
        <v>207</v>
      </c>
      <c r="O215" s="9">
        <v>8</v>
      </c>
      <c r="P215" s="9" t="s">
        <v>58</v>
      </c>
      <c r="Q215" s="9">
        <v>2550</v>
      </c>
      <c r="R215" s="9">
        <v>82</v>
      </c>
      <c r="S215" s="9"/>
      <c r="T215" s="9">
        <v>150</v>
      </c>
      <c r="U215" s="9">
        <v>14</v>
      </c>
      <c r="V215" s="9">
        <v>1</v>
      </c>
      <c r="W215" s="9">
        <v>2</v>
      </c>
      <c r="X215" s="9">
        <v>215</v>
      </c>
      <c r="Y215" s="9">
        <v>123.19442</v>
      </c>
      <c r="Z215" s="9">
        <v>3</v>
      </c>
      <c r="AA215" s="9">
        <v>384</v>
      </c>
      <c r="AB215" s="9">
        <v>384</v>
      </c>
      <c r="AC215" s="9" t="s">
        <v>75</v>
      </c>
      <c r="AD215" s="9">
        <v>2.5</v>
      </c>
      <c r="AE215" s="9">
        <v>3</v>
      </c>
      <c r="AF215" s="9" t="s">
        <v>271</v>
      </c>
      <c r="AG215" s="9"/>
      <c r="AH215" s="9" t="s">
        <v>77</v>
      </c>
      <c r="AI215" s="9">
        <v>70</v>
      </c>
      <c r="AJ215" s="9">
        <v>100</v>
      </c>
      <c r="AK215" s="9" t="s">
        <v>919</v>
      </c>
      <c r="AL215" s="9">
        <v>24</v>
      </c>
      <c r="AM215" s="9"/>
      <c r="AN215" s="9" t="s">
        <v>210</v>
      </c>
      <c r="AO215" s="9" t="s">
        <v>273</v>
      </c>
      <c r="AP215" s="9" t="s">
        <v>212</v>
      </c>
      <c r="AQ215" s="9"/>
      <c r="AR215" s="9" t="s">
        <v>274</v>
      </c>
      <c r="AS215" s="9" t="s">
        <v>68</v>
      </c>
      <c r="AT215" s="9" t="s">
        <v>69</v>
      </c>
      <c r="AU215" s="9" t="s">
        <v>214</v>
      </c>
      <c r="AV215" s="9">
        <v>35</v>
      </c>
    </row>
    <row r="216" spans="1:48">
      <c r="A216" s="9">
        <f t="shared" si="3"/>
        <v>215</v>
      </c>
      <c r="B216" s="9" t="s">
        <v>912</v>
      </c>
      <c r="C216" s="9" t="s">
        <v>920</v>
      </c>
      <c r="D216" s="9">
        <v>1</v>
      </c>
      <c r="E216" s="9">
        <v>1</v>
      </c>
      <c r="F216" s="9" t="s">
        <v>50</v>
      </c>
      <c r="G216" s="9" t="s">
        <v>288</v>
      </c>
      <c r="H216" s="9"/>
      <c r="I216" s="9" t="s">
        <v>289</v>
      </c>
      <c r="J216" s="9" t="s">
        <v>53</v>
      </c>
      <c r="K216" s="9" t="s">
        <v>206</v>
      </c>
      <c r="L216" s="9" t="s">
        <v>113</v>
      </c>
      <c r="M216" s="9" t="s">
        <v>56</v>
      </c>
      <c r="N216" s="9" t="s">
        <v>207</v>
      </c>
      <c r="O216" s="9">
        <v>9</v>
      </c>
      <c r="P216" s="9" t="s">
        <v>58</v>
      </c>
      <c r="Q216" s="9">
        <v>2800</v>
      </c>
      <c r="R216" s="9">
        <v>22</v>
      </c>
      <c r="S216" s="9"/>
      <c r="T216" s="9">
        <v>150</v>
      </c>
      <c r="U216" s="9">
        <v>5</v>
      </c>
      <c r="V216" s="9">
        <v>1</v>
      </c>
      <c r="W216" s="9">
        <v>2</v>
      </c>
      <c r="X216" s="9">
        <v>255</v>
      </c>
      <c r="Y216" s="9">
        <v>123.194451</v>
      </c>
      <c r="Z216" s="9">
        <v>3</v>
      </c>
      <c r="AA216" s="9">
        <v>640</v>
      </c>
      <c r="AB216" s="9">
        <v>640</v>
      </c>
      <c r="AC216" s="9" t="s">
        <v>222</v>
      </c>
      <c r="AD216" s="9">
        <v>2.5</v>
      </c>
      <c r="AE216" s="9">
        <v>3</v>
      </c>
      <c r="AF216" s="9" t="s">
        <v>84</v>
      </c>
      <c r="AG216" s="9"/>
      <c r="AH216" s="9" t="s">
        <v>77</v>
      </c>
      <c r="AI216" s="9">
        <v>70</v>
      </c>
      <c r="AJ216" s="9">
        <v>100</v>
      </c>
      <c r="AK216" s="9" t="s">
        <v>921</v>
      </c>
      <c r="AL216" s="9">
        <v>24</v>
      </c>
      <c r="AM216" s="9"/>
      <c r="AN216" s="9" t="s">
        <v>210</v>
      </c>
      <c r="AO216" s="9" t="s">
        <v>273</v>
      </c>
      <c r="AP216" s="9" t="s">
        <v>212</v>
      </c>
      <c r="AQ216" s="9"/>
      <c r="AR216" s="9" t="s">
        <v>274</v>
      </c>
      <c r="AS216" s="9" t="s">
        <v>68</v>
      </c>
      <c r="AT216" s="9" t="s">
        <v>69</v>
      </c>
      <c r="AU216" s="9" t="s">
        <v>214</v>
      </c>
      <c r="AV216" s="9">
        <v>35</v>
      </c>
    </row>
    <row r="217" spans="1:48">
      <c r="A217" s="9">
        <f t="shared" si="3"/>
        <v>216</v>
      </c>
      <c r="B217" s="9" t="s">
        <v>922</v>
      </c>
      <c r="C217" s="9" t="s">
        <v>923</v>
      </c>
      <c r="D217" s="9">
        <v>0</v>
      </c>
      <c r="E217" s="9">
        <v>0</v>
      </c>
      <c r="F217" s="9" t="s">
        <v>50</v>
      </c>
      <c r="G217" s="9"/>
      <c r="H217" s="9"/>
      <c r="I217" s="9"/>
      <c r="J217" s="9" t="s">
        <v>53</v>
      </c>
      <c r="K217" s="9" t="s">
        <v>143</v>
      </c>
      <c r="L217" s="9" t="s">
        <v>713</v>
      </c>
      <c r="M217" s="9" t="s">
        <v>56</v>
      </c>
      <c r="N217" s="9" t="s">
        <v>145</v>
      </c>
      <c r="O217" s="9">
        <v>5</v>
      </c>
      <c r="P217" s="9" t="s">
        <v>58</v>
      </c>
      <c r="Q217" s="9">
        <v>4100</v>
      </c>
      <c r="R217" s="9">
        <v>85.752</v>
      </c>
      <c r="S217" s="9">
        <v>0</v>
      </c>
      <c r="T217" s="9">
        <v>90</v>
      </c>
      <c r="U217" s="9">
        <v>16</v>
      </c>
      <c r="V217" s="9">
        <v>1</v>
      </c>
      <c r="W217" s="9">
        <v>1</v>
      </c>
      <c r="X217" s="9">
        <v>122.07</v>
      </c>
      <c r="Y217" s="9">
        <v>63.842274</v>
      </c>
      <c r="Z217" s="9">
        <v>1.5</v>
      </c>
      <c r="AA217" s="9">
        <v>512</v>
      </c>
      <c r="AB217" s="9">
        <v>512</v>
      </c>
      <c r="AC217" s="9" t="s">
        <v>186</v>
      </c>
      <c r="AD217" s="9">
        <v>3</v>
      </c>
      <c r="AE217" s="9">
        <v>4</v>
      </c>
      <c r="AF217" s="9" t="s">
        <v>181</v>
      </c>
      <c r="AG217" s="9"/>
      <c r="AH217" s="9" t="s">
        <v>61</v>
      </c>
      <c r="AI217" s="9">
        <v>100</v>
      </c>
      <c r="AJ217" s="9">
        <v>100</v>
      </c>
      <c r="AK217" s="9" t="s">
        <v>924</v>
      </c>
      <c r="AL217" s="9">
        <v>10</v>
      </c>
      <c r="AM217" s="9"/>
      <c r="AN217" s="9" t="s">
        <v>149</v>
      </c>
      <c r="AO217" s="9" t="s">
        <v>709</v>
      </c>
      <c r="AP217" s="9" t="s">
        <v>710</v>
      </c>
      <c r="AQ217" s="9" t="s">
        <v>711</v>
      </c>
      <c r="AR217" s="9"/>
      <c r="AS217" s="9"/>
      <c r="AT217" s="9" t="s">
        <v>69</v>
      </c>
      <c r="AU217" s="9"/>
      <c r="AV217" s="9">
        <v>24</v>
      </c>
    </row>
    <row r="218" spans="1:48">
      <c r="A218" s="9">
        <f t="shared" si="3"/>
        <v>217</v>
      </c>
      <c r="B218" s="9" t="s">
        <v>922</v>
      </c>
      <c r="C218" s="9" t="s">
        <v>925</v>
      </c>
      <c r="D218" s="9">
        <v>0</v>
      </c>
      <c r="E218" s="9">
        <v>0</v>
      </c>
      <c r="F218" s="9" t="s">
        <v>91</v>
      </c>
      <c r="G218" s="9"/>
      <c r="H218" s="9"/>
      <c r="I218" s="9"/>
      <c r="J218" s="9" t="s">
        <v>53</v>
      </c>
      <c r="K218" s="9" t="s">
        <v>97</v>
      </c>
      <c r="L218" s="9" t="s">
        <v>706</v>
      </c>
      <c r="M218" s="9" t="s">
        <v>56</v>
      </c>
      <c r="N218" s="9" t="s">
        <v>145</v>
      </c>
      <c r="O218" s="9">
        <v>7</v>
      </c>
      <c r="P218" s="9" t="s">
        <v>58</v>
      </c>
      <c r="Q218" s="9">
        <v>640</v>
      </c>
      <c r="R218" s="9">
        <v>11.304</v>
      </c>
      <c r="S218" s="9">
        <v>0</v>
      </c>
      <c r="T218" s="9">
        <v>90</v>
      </c>
      <c r="U218" s="9">
        <v>3</v>
      </c>
      <c r="V218" s="9">
        <v>1</v>
      </c>
      <c r="W218" s="9">
        <v>1</v>
      </c>
      <c r="X218" s="9">
        <v>97.6562</v>
      </c>
      <c r="Y218" s="9">
        <v>63.842274</v>
      </c>
      <c r="Z218" s="9">
        <v>1.5</v>
      </c>
      <c r="AA218" s="9">
        <v>512</v>
      </c>
      <c r="AB218" s="9">
        <v>512</v>
      </c>
      <c r="AC218" s="9" t="s">
        <v>308</v>
      </c>
      <c r="AD218" s="9">
        <v>3.5</v>
      </c>
      <c r="AE218" s="9">
        <v>4.5</v>
      </c>
      <c r="AF218" s="9" t="s">
        <v>707</v>
      </c>
      <c r="AG218" s="9"/>
      <c r="AH218" s="9" t="s">
        <v>77</v>
      </c>
      <c r="AI218" s="9">
        <v>100</v>
      </c>
      <c r="AJ218" s="9">
        <v>100</v>
      </c>
      <c r="AK218" s="9" t="s">
        <v>926</v>
      </c>
      <c r="AL218" s="9">
        <v>16</v>
      </c>
      <c r="AM218" s="9"/>
      <c r="AN218" s="9" t="s">
        <v>149</v>
      </c>
      <c r="AO218" s="9" t="s">
        <v>709</v>
      </c>
      <c r="AP218" s="9" t="s">
        <v>710</v>
      </c>
      <c r="AQ218" s="9" t="s">
        <v>711</v>
      </c>
      <c r="AR218" s="9"/>
      <c r="AS218" s="9"/>
      <c r="AT218" s="9" t="s">
        <v>69</v>
      </c>
      <c r="AU218" s="9"/>
      <c r="AV218" s="9">
        <v>28</v>
      </c>
    </row>
    <row r="219" spans="1:48">
      <c r="A219" s="9">
        <f t="shared" si="3"/>
        <v>218</v>
      </c>
      <c r="B219" s="9" t="s">
        <v>922</v>
      </c>
      <c r="C219" s="9" t="s">
        <v>927</v>
      </c>
      <c r="D219" s="9">
        <v>1</v>
      </c>
      <c r="E219" s="9">
        <v>1</v>
      </c>
      <c r="F219" s="9" t="s">
        <v>91</v>
      </c>
      <c r="G219" s="9"/>
      <c r="H219" s="9"/>
      <c r="I219" s="9"/>
      <c r="J219" s="9" t="s">
        <v>53</v>
      </c>
      <c r="K219" s="9" t="s">
        <v>97</v>
      </c>
      <c r="L219" s="9" t="s">
        <v>719</v>
      </c>
      <c r="M219" s="9" t="s">
        <v>56</v>
      </c>
      <c r="N219" s="9" t="s">
        <v>145</v>
      </c>
      <c r="O219" s="9">
        <v>4</v>
      </c>
      <c r="P219" s="9" t="s">
        <v>58</v>
      </c>
      <c r="Q219" s="9">
        <v>2760</v>
      </c>
      <c r="R219" s="9">
        <v>34.188</v>
      </c>
      <c r="S219" s="9">
        <v>0</v>
      </c>
      <c r="T219" s="9">
        <v>90</v>
      </c>
      <c r="U219" s="9">
        <v>6</v>
      </c>
      <c r="V219" s="9">
        <v>1</v>
      </c>
      <c r="W219" s="9">
        <v>2</v>
      </c>
      <c r="X219" s="9">
        <v>122.07</v>
      </c>
      <c r="Y219" s="9">
        <v>63.842274</v>
      </c>
      <c r="Z219" s="9">
        <v>1.5</v>
      </c>
      <c r="AA219" s="9">
        <v>512</v>
      </c>
      <c r="AB219" s="9">
        <v>512</v>
      </c>
      <c r="AC219" s="9" t="s">
        <v>308</v>
      </c>
      <c r="AD219" s="9">
        <v>3.5</v>
      </c>
      <c r="AE219" s="9">
        <v>4.5</v>
      </c>
      <c r="AF219" s="9" t="s">
        <v>707</v>
      </c>
      <c r="AG219" s="9"/>
      <c r="AH219" s="9" t="s">
        <v>77</v>
      </c>
      <c r="AI219" s="9">
        <v>100</v>
      </c>
      <c r="AJ219" s="9">
        <v>100</v>
      </c>
      <c r="AK219" s="9" t="s">
        <v>928</v>
      </c>
      <c r="AL219" s="9">
        <v>22</v>
      </c>
      <c r="AM219" s="9"/>
      <c r="AN219" s="9" t="s">
        <v>149</v>
      </c>
      <c r="AO219" s="9" t="s">
        <v>709</v>
      </c>
      <c r="AP219" s="9" t="s">
        <v>710</v>
      </c>
      <c r="AQ219" s="9" t="s">
        <v>711</v>
      </c>
      <c r="AR219" s="9"/>
      <c r="AS219" s="9"/>
      <c r="AT219" s="9" t="s">
        <v>69</v>
      </c>
      <c r="AU219" s="9"/>
      <c r="AV219" s="9">
        <v>28</v>
      </c>
    </row>
    <row r="220" spans="1:48">
      <c r="A220" s="9">
        <f t="shared" si="3"/>
        <v>219</v>
      </c>
      <c r="B220" s="9" t="s">
        <v>922</v>
      </c>
      <c r="C220" s="9" t="s">
        <v>929</v>
      </c>
      <c r="D220" s="9">
        <v>1</v>
      </c>
      <c r="E220" s="9">
        <v>1</v>
      </c>
      <c r="F220" s="9" t="s">
        <v>72</v>
      </c>
      <c r="G220" s="9"/>
      <c r="H220" s="9"/>
      <c r="I220" s="9"/>
      <c r="J220" s="9" t="s">
        <v>53</v>
      </c>
      <c r="K220" s="9" t="s">
        <v>97</v>
      </c>
      <c r="L220" s="9" t="s">
        <v>719</v>
      </c>
      <c r="M220" s="9" t="s">
        <v>56</v>
      </c>
      <c r="N220" s="9" t="s">
        <v>145</v>
      </c>
      <c r="O220" s="9">
        <v>3</v>
      </c>
      <c r="P220" s="9" t="s">
        <v>58</v>
      </c>
      <c r="Q220" s="9">
        <v>2340</v>
      </c>
      <c r="R220" s="9">
        <v>34.58</v>
      </c>
      <c r="S220" s="9">
        <v>0</v>
      </c>
      <c r="T220" s="9">
        <v>90</v>
      </c>
      <c r="U220" s="9">
        <v>6</v>
      </c>
      <c r="V220" s="9">
        <v>1</v>
      </c>
      <c r="W220" s="9">
        <v>2</v>
      </c>
      <c r="X220" s="9">
        <v>122.07</v>
      </c>
      <c r="Y220" s="9">
        <v>63.842277</v>
      </c>
      <c r="Z220" s="9">
        <v>1.5</v>
      </c>
      <c r="AA220" s="9">
        <v>512</v>
      </c>
      <c r="AB220" s="9">
        <v>512</v>
      </c>
      <c r="AC220" s="9" t="s">
        <v>308</v>
      </c>
      <c r="AD220" s="9">
        <v>3</v>
      </c>
      <c r="AE220" s="9">
        <v>4</v>
      </c>
      <c r="AF220" s="9" t="s">
        <v>707</v>
      </c>
      <c r="AG220" s="9"/>
      <c r="AH220" s="9" t="s">
        <v>77</v>
      </c>
      <c r="AI220" s="9">
        <v>100</v>
      </c>
      <c r="AJ220" s="9">
        <v>100</v>
      </c>
      <c r="AK220" s="9" t="s">
        <v>930</v>
      </c>
      <c r="AL220" s="9">
        <v>13</v>
      </c>
      <c r="AM220" s="9"/>
      <c r="AN220" s="9" t="s">
        <v>149</v>
      </c>
      <c r="AO220" s="9" t="s">
        <v>709</v>
      </c>
      <c r="AP220" s="9" t="s">
        <v>710</v>
      </c>
      <c r="AQ220" s="9" t="s">
        <v>711</v>
      </c>
      <c r="AR220" s="9"/>
      <c r="AS220" s="9"/>
      <c r="AT220" s="9" t="s">
        <v>69</v>
      </c>
      <c r="AU220" s="9"/>
      <c r="AV220" s="9">
        <v>24</v>
      </c>
    </row>
    <row r="221" spans="1:48">
      <c r="A221" s="9">
        <f t="shared" si="3"/>
        <v>220</v>
      </c>
      <c r="B221" s="9" t="s">
        <v>922</v>
      </c>
      <c r="C221" s="9" t="s">
        <v>931</v>
      </c>
      <c r="D221" s="9">
        <v>0</v>
      </c>
      <c r="E221" s="9">
        <v>0</v>
      </c>
      <c r="F221" s="9" t="s">
        <v>72</v>
      </c>
      <c r="G221" s="9"/>
      <c r="H221" s="9"/>
      <c r="I221" s="9"/>
      <c r="J221" s="9" t="s">
        <v>53</v>
      </c>
      <c r="K221" s="9" t="s">
        <v>97</v>
      </c>
      <c r="L221" s="9" t="s">
        <v>706</v>
      </c>
      <c r="M221" s="9" t="s">
        <v>56</v>
      </c>
      <c r="N221" s="9" t="s">
        <v>145</v>
      </c>
      <c r="O221" s="9">
        <v>6</v>
      </c>
      <c r="P221" s="9" t="s">
        <v>58</v>
      </c>
      <c r="Q221" s="9">
        <v>540</v>
      </c>
      <c r="R221" s="9">
        <v>11.416</v>
      </c>
      <c r="S221" s="9">
        <v>0</v>
      </c>
      <c r="T221" s="9">
        <v>90</v>
      </c>
      <c r="U221" s="9">
        <v>3</v>
      </c>
      <c r="V221" s="9">
        <v>1</v>
      </c>
      <c r="W221" s="9">
        <v>1</v>
      </c>
      <c r="X221" s="9">
        <v>97.6562</v>
      </c>
      <c r="Y221" s="9">
        <v>63.842274</v>
      </c>
      <c r="Z221" s="9">
        <v>1.5</v>
      </c>
      <c r="AA221" s="9">
        <v>512</v>
      </c>
      <c r="AB221" s="9">
        <v>512</v>
      </c>
      <c r="AC221" s="9" t="s">
        <v>308</v>
      </c>
      <c r="AD221" s="9">
        <v>3</v>
      </c>
      <c r="AE221" s="9">
        <v>4</v>
      </c>
      <c r="AF221" s="9" t="s">
        <v>707</v>
      </c>
      <c r="AG221" s="9"/>
      <c r="AH221" s="9" t="s">
        <v>77</v>
      </c>
      <c r="AI221" s="9">
        <v>100</v>
      </c>
      <c r="AJ221" s="9">
        <v>100</v>
      </c>
      <c r="AK221" s="9" t="s">
        <v>930</v>
      </c>
      <c r="AL221" s="9">
        <v>7</v>
      </c>
      <c r="AM221" s="9"/>
      <c r="AN221" s="9" t="s">
        <v>149</v>
      </c>
      <c r="AO221" s="9" t="s">
        <v>709</v>
      </c>
      <c r="AP221" s="9" t="s">
        <v>710</v>
      </c>
      <c r="AQ221" s="9" t="s">
        <v>711</v>
      </c>
      <c r="AR221" s="9"/>
      <c r="AS221" s="9"/>
      <c r="AT221" s="9" t="s">
        <v>69</v>
      </c>
      <c r="AU221" s="9"/>
      <c r="AV221" s="9">
        <v>24</v>
      </c>
    </row>
    <row r="222" spans="1:48">
      <c r="A222" s="9">
        <f t="shared" si="3"/>
        <v>221</v>
      </c>
      <c r="B222" s="9" t="s">
        <v>922</v>
      </c>
      <c r="C222" s="9" t="s">
        <v>932</v>
      </c>
      <c r="D222" s="9">
        <v>1</v>
      </c>
      <c r="E222" s="9">
        <v>1</v>
      </c>
      <c r="F222" s="9" t="s">
        <v>50</v>
      </c>
      <c r="G222" s="9"/>
      <c r="H222" s="9"/>
      <c r="I222" s="9"/>
      <c r="J222" s="9" t="s">
        <v>53</v>
      </c>
      <c r="K222" s="9" t="s">
        <v>143</v>
      </c>
      <c r="L222" s="9" t="s">
        <v>721</v>
      </c>
      <c r="M222" s="9" t="s">
        <v>56</v>
      </c>
      <c r="N222" s="9" t="s">
        <v>145</v>
      </c>
      <c r="O222" s="9">
        <v>2</v>
      </c>
      <c r="P222" s="9" t="s">
        <v>58</v>
      </c>
      <c r="Q222" s="9">
        <v>2300</v>
      </c>
      <c r="R222" s="9">
        <v>33.656</v>
      </c>
      <c r="S222" s="9">
        <v>0</v>
      </c>
      <c r="T222" s="9">
        <v>90</v>
      </c>
      <c r="U222" s="9">
        <v>6</v>
      </c>
      <c r="V222" s="9">
        <v>1</v>
      </c>
      <c r="W222" s="9">
        <v>1</v>
      </c>
      <c r="X222" s="9">
        <v>122.07</v>
      </c>
      <c r="Y222" s="9">
        <v>63.842274</v>
      </c>
      <c r="Z222" s="9">
        <v>1.5</v>
      </c>
      <c r="AA222" s="9">
        <v>512</v>
      </c>
      <c r="AB222" s="9">
        <v>512</v>
      </c>
      <c r="AC222" s="9" t="s">
        <v>186</v>
      </c>
      <c r="AD222" s="9">
        <v>3</v>
      </c>
      <c r="AE222" s="9">
        <v>4</v>
      </c>
      <c r="AF222" s="9" t="s">
        <v>707</v>
      </c>
      <c r="AG222" s="9"/>
      <c r="AH222" s="9" t="s">
        <v>77</v>
      </c>
      <c r="AI222" s="9">
        <v>100</v>
      </c>
      <c r="AJ222" s="9">
        <v>100</v>
      </c>
      <c r="AK222" s="9" t="s">
        <v>924</v>
      </c>
      <c r="AL222" s="9">
        <v>10</v>
      </c>
      <c r="AM222" s="9"/>
      <c r="AN222" s="9" t="s">
        <v>149</v>
      </c>
      <c r="AO222" s="9" t="s">
        <v>709</v>
      </c>
      <c r="AP222" s="9" t="s">
        <v>710</v>
      </c>
      <c r="AQ222" s="9" t="s">
        <v>711</v>
      </c>
      <c r="AR222" s="9"/>
      <c r="AS222" s="9"/>
      <c r="AT222" s="9" t="s">
        <v>69</v>
      </c>
      <c r="AU222" s="9"/>
      <c r="AV222" s="9">
        <v>24</v>
      </c>
    </row>
    <row r="223" spans="1:48">
      <c r="A223" s="9">
        <f t="shared" si="3"/>
        <v>222</v>
      </c>
      <c r="B223" s="9" t="s">
        <v>922</v>
      </c>
      <c r="C223" s="9" t="s">
        <v>933</v>
      </c>
      <c r="D223" s="9">
        <v>0</v>
      </c>
      <c r="E223" s="9">
        <v>0</v>
      </c>
      <c r="F223" s="9" t="s">
        <v>91</v>
      </c>
      <c r="G223" s="9"/>
      <c r="H223" s="9"/>
      <c r="I223" s="9"/>
      <c r="J223" s="9" t="s">
        <v>53</v>
      </c>
      <c r="K223" s="9" t="s">
        <v>97</v>
      </c>
      <c r="L223" s="9" t="s">
        <v>706</v>
      </c>
      <c r="M223" s="9" t="s">
        <v>56</v>
      </c>
      <c r="N223" s="9" t="s">
        <v>145</v>
      </c>
      <c r="O223" s="9">
        <v>8</v>
      </c>
      <c r="P223" s="9" t="s">
        <v>58</v>
      </c>
      <c r="Q223" s="9">
        <v>4700</v>
      </c>
      <c r="R223" s="9">
        <v>87.912</v>
      </c>
      <c r="S223" s="9">
        <v>0</v>
      </c>
      <c r="T223" s="9">
        <v>90</v>
      </c>
      <c r="U223" s="9">
        <v>16</v>
      </c>
      <c r="V223" s="9">
        <v>1</v>
      </c>
      <c r="W223" s="9">
        <v>2</v>
      </c>
      <c r="X223" s="9">
        <v>122.07</v>
      </c>
      <c r="Y223" s="9">
        <v>63.842274</v>
      </c>
      <c r="Z223" s="9">
        <v>1.5</v>
      </c>
      <c r="AA223" s="9">
        <v>512</v>
      </c>
      <c r="AB223" s="9">
        <v>512</v>
      </c>
      <c r="AC223" s="9" t="s">
        <v>308</v>
      </c>
      <c r="AD223" s="9">
        <v>3.5</v>
      </c>
      <c r="AE223" s="9">
        <v>4.5</v>
      </c>
      <c r="AF223" s="9" t="s">
        <v>707</v>
      </c>
      <c r="AG223" s="9"/>
      <c r="AH223" s="9" t="s">
        <v>77</v>
      </c>
      <c r="AI223" s="9">
        <v>100</v>
      </c>
      <c r="AJ223" s="9">
        <v>100</v>
      </c>
      <c r="AK223" s="9" t="s">
        <v>928</v>
      </c>
      <c r="AL223" s="9">
        <v>3</v>
      </c>
      <c r="AM223" s="9"/>
      <c r="AN223" s="9" t="s">
        <v>149</v>
      </c>
      <c r="AO223" s="9" t="s">
        <v>709</v>
      </c>
      <c r="AP223" s="9" t="s">
        <v>710</v>
      </c>
      <c r="AQ223" s="9" t="s">
        <v>711</v>
      </c>
      <c r="AR223" s="9"/>
      <c r="AS223" s="9"/>
      <c r="AT223" s="9" t="s">
        <v>69</v>
      </c>
      <c r="AU223" s="9"/>
      <c r="AV223" s="9">
        <v>28</v>
      </c>
    </row>
    <row r="224" spans="1:48">
      <c r="A224" s="9">
        <f t="shared" si="3"/>
        <v>223</v>
      </c>
      <c r="B224" s="9" t="s">
        <v>934</v>
      </c>
      <c r="C224" s="9" t="s">
        <v>935</v>
      </c>
      <c r="D224" s="9">
        <v>0</v>
      </c>
      <c r="E224" s="9">
        <v>0</v>
      </c>
      <c r="F224" s="9" t="s">
        <v>50</v>
      </c>
      <c r="G224" s="9" t="s">
        <v>481</v>
      </c>
      <c r="H224" s="9"/>
      <c r="I224" s="9"/>
      <c r="J224" s="9" t="s">
        <v>53</v>
      </c>
      <c r="K224" s="9" t="s">
        <v>97</v>
      </c>
      <c r="L224" s="9" t="s">
        <v>98</v>
      </c>
      <c r="M224" s="9" t="s">
        <v>56</v>
      </c>
      <c r="N224" s="9" t="s">
        <v>99</v>
      </c>
      <c r="O224" s="9">
        <v>601</v>
      </c>
      <c r="P224" s="9" t="s">
        <v>58</v>
      </c>
      <c r="Q224" s="10">
        <v>3186.54467773437</v>
      </c>
      <c r="R224" s="9">
        <v>30</v>
      </c>
      <c r="S224" s="9"/>
      <c r="T224" s="9">
        <v>90</v>
      </c>
      <c r="U224" s="9">
        <v>10</v>
      </c>
      <c r="V224" s="9">
        <v>1</v>
      </c>
      <c r="W224" s="9">
        <v>1</v>
      </c>
      <c r="X224" s="9">
        <v>311</v>
      </c>
      <c r="Y224" s="9">
        <v>127.755687</v>
      </c>
      <c r="Z224" s="9">
        <v>3</v>
      </c>
      <c r="AA224" s="9">
        <v>400</v>
      </c>
      <c r="AB224" s="9">
        <v>400</v>
      </c>
      <c r="AC224" s="9" t="s">
        <v>482</v>
      </c>
      <c r="AD224" s="9">
        <v>3</v>
      </c>
      <c r="AE224" s="9">
        <v>3.3</v>
      </c>
      <c r="AF224" s="9" t="s">
        <v>489</v>
      </c>
      <c r="AG224" s="9"/>
      <c r="AH224" s="9" t="s">
        <v>61</v>
      </c>
      <c r="AI224" s="10">
        <v>89.9199981689453</v>
      </c>
      <c r="AJ224" s="9">
        <v>100</v>
      </c>
      <c r="AK224" s="9" t="s">
        <v>936</v>
      </c>
      <c r="AL224" s="9">
        <v>9</v>
      </c>
      <c r="AM224" s="9"/>
      <c r="AN224" s="9" t="s">
        <v>400</v>
      </c>
      <c r="AO224" s="9" t="s">
        <v>369</v>
      </c>
      <c r="AP224" s="9" t="s">
        <v>485</v>
      </c>
      <c r="AQ224" s="9" t="s">
        <v>486</v>
      </c>
      <c r="AR224" s="9"/>
      <c r="AS224" s="9" t="s">
        <v>68</v>
      </c>
      <c r="AT224" s="9" t="s">
        <v>69</v>
      </c>
      <c r="AU224" s="9"/>
      <c r="AV224" s="9">
        <v>33</v>
      </c>
    </row>
    <row r="225" spans="1:48">
      <c r="A225" s="9">
        <f t="shared" si="3"/>
        <v>224</v>
      </c>
      <c r="B225" s="9" t="s">
        <v>934</v>
      </c>
      <c r="C225" s="9" t="s">
        <v>937</v>
      </c>
      <c r="D225" s="9">
        <v>0</v>
      </c>
      <c r="E225" s="9">
        <v>0</v>
      </c>
      <c r="F225" s="9" t="s">
        <v>50</v>
      </c>
      <c r="G225" s="9" t="s">
        <v>481</v>
      </c>
      <c r="H225" s="9"/>
      <c r="I225" s="9"/>
      <c r="J225" s="9" t="s">
        <v>53</v>
      </c>
      <c r="K225" s="9" t="s">
        <v>97</v>
      </c>
      <c r="L225" s="9" t="s">
        <v>98</v>
      </c>
      <c r="M225" s="9" t="s">
        <v>56</v>
      </c>
      <c r="N225" s="9" t="s">
        <v>99</v>
      </c>
      <c r="O225" s="9">
        <v>701</v>
      </c>
      <c r="P225" s="9" t="s">
        <v>58</v>
      </c>
      <c r="Q225" s="10">
        <v>2500.00024414062</v>
      </c>
      <c r="R225" s="9">
        <v>30</v>
      </c>
      <c r="S225" s="9"/>
      <c r="T225" s="9">
        <v>90</v>
      </c>
      <c r="U225" s="9">
        <v>10</v>
      </c>
      <c r="V225" s="9">
        <v>1</v>
      </c>
      <c r="W225" s="9">
        <v>1</v>
      </c>
      <c r="X225" s="9">
        <v>311</v>
      </c>
      <c r="Y225" s="9">
        <v>127.755692</v>
      </c>
      <c r="Z225" s="9">
        <v>3</v>
      </c>
      <c r="AA225" s="9">
        <v>400</v>
      </c>
      <c r="AB225" s="9">
        <v>400</v>
      </c>
      <c r="AC225" s="9" t="s">
        <v>482</v>
      </c>
      <c r="AD225" s="9">
        <v>2</v>
      </c>
      <c r="AE225" s="9">
        <v>2.25</v>
      </c>
      <c r="AF225" s="9" t="s">
        <v>489</v>
      </c>
      <c r="AG225" s="9"/>
      <c r="AH225" s="9" t="s">
        <v>61</v>
      </c>
      <c r="AI225" s="10">
        <v>89.9199981689453</v>
      </c>
      <c r="AJ225" s="9">
        <v>100</v>
      </c>
      <c r="AK225" s="9" t="s">
        <v>938</v>
      </c>
      <c r="AL225" s="9">
        <v>6</v>
      </c>
      <c r="AM225" s="9"/>
      <c r="AN225" s="9" t="s">
        <v>400</v>
      </c>
      <c r="AO225" s="9" t="s">
        <v>369</v>
      </c>
      <c r="AP225" s="9" t="s">
        <v>485</v>
      </c>
      <c r="AQ225" s="9" t="s">
        <v>486</v>
      </c>
      <c r="AR225" s="9"/>
      <c r="AS225" s="9" t="s">
        <v>68</v>
      </c>
      <c r="AT225" s="9" t="s">
        <v>69</v>
      </c>
      <c r="AU225" s="9"/>
      <c r="AV225" s="9">
        <v>13</v>
      </c>
    </row>
    <row r="226" spans="1:48">
      <c r="A226" s="9">
        <f t="shared" si="3"/>
        <v>225</v>
      </c>
      <c r="B226" s="9" t="s">
        <v>934</v>
      </c>
      <c r="C226" s="9" t="s">
        <v>939</v>
      </c>
      <c r="D226" s="9">
        <v>0</v>
      </c>
      <c r="E226" s="9">
        <v>0</v>
      </c>
      <c r="F226" s="9" t="s">
        <v>50</v>
      </c>
      <c r="G226" s="9" t="s">
        <v>481</v>
      </c>
      <c r="H226" s="9"/>
      <c r="I226" s="9"/>
      <c r="J226" s="9" t="s">
        <v>53</v>
      </c>
      <c r="K226" s="9" t="s">
        <v>97</v>
      </c>
      <c r="L226" s="9" t="s">
        <v>98</v>
      </c>
      <c r="M226" s="9" t="s">
        <v>56</v>
      </c>
      <c r="N226" s="9" t="s">
        <v>99</v>
      </c>
      <c r="O226" s="9">
        <v>801</v>
      </c>
      <c r="P226" s="9" t="s">
        <v>58</v>
      </c>
      <c r="Q226" s="10">
        <v>2500.00024414062</v>
      </c>
      <c r="R226" s="9">
        <v>30</v>
      </c>
      <c r="S226" s="9"/>
      <c r="T226" s="9">
        <v>90</v>
      </c>
      <c r="U226" s="9">
        <v>10</v>
      </c>
      <c r="V226" s="9">
        <v>1</v>
      </c>
      <c r="W226" s="9">
        <v>1</v>
      </c>
      <c r="X226" s="9">
        <v>311</v>
      </c>
      <c r="Y226" s="9">
        <v>127.755692</v>
      </c>
      <c r="Z226" s="9">
        <v>3</v>
      </c>
      <c r="AA226" s="9">
        <v>400</v>
      </c>
      <c r="AB226" s="9">
        <v>400</v>
      </c>
      <c r="AC226" s="9" t="s">
        <v>482</v>
      </c>
      <c r="AD226" s="9">
        <v>2</v>
      </c>
      <c r="AE226" s="9">
        <v>2.25</v>
      </c>
      <c r="AF226" s="9" t="s">
        <v>489</v>
      </c>
      <c r="AG226" s="9"/>
      <c r="AH226" s="9" t="s">
        <v>61</v>
      </c>
      <c r="AI226" s="10">
        <v>89.9199981689453</v>
      </c>
      <c r="AJ226" s="9">
        <v>100</v>
      </c>
      <c r="AK226" s="9" t="s">
        <v>938</v>
      </c>
      <c r="AL226" s="9">
        <v>7</v>
      </c>
      <c r="AM226" s="9"/>
      <c r="AN226" s="9" t="s">
        <v>400</v>
      </c>
      <c r="AO226" s="9" t="s">
        <v>369</v>
      </c>
      <c r="AP226" s="9" t="s">
        <v>485</v>
      </c>
      <c r="AQ226" s="9" t="s">
        <v>486</v>
      </c>
      <c r="AR226" s="9"/>
      <c r="AS226" s="9" t="s">
        <v>68</v>
      </c>
      <c r="AT226" s="9" t="s">
        <v>69</v>
      </c>
      <c r="AU226" s="9"/>
      <c r="AV226" s="9">
        <v>13</v>
      </c>
    </row>
    <row r="227" spans="1:48">
      <c r="A227" s="9">
        <f t="shared" si="3"/>
        <v>226</v>
      </c>
      <c r="B227" s="9" t="s">
        <v>934</v>
      </c>
      <c r="C227" s="9" t="s">
        <v>940</v>
      </c>
      <c r="D227" s="9">
        <v>1</v>
      </c>
      <c r="E227" s="9">
        <v>1</v>
      </c>
      <c r="F227" s="9" t="s">
        <v>50</v>
      </c>
      <c r="G227" s="9" t="s">
        <v>498</v>
      </c>
      <c r="H227" s="9"/>
      <c r="I227" s="9"/>
      <c r="J227" s="9" t="s">
        <v>53</v>
      </c>
      <c r="K227" s="9" t="s">
        <v>97</v>
      </c>
      <c r="L227" s="9" t="s">
        <v>113</v>
      </c>
      <c r="M227" s="9" t="s">
        <v>56</v>
      </c>
      <c r="N227" s="9" t="s">
        <v>99</v>
      </c>
      <c r="O227" s="9">
        <v>201</v>
      </c>
      <c r="P227" s="9" t="s">
        <v>58</v>
      </c>
      <c r="Q227" s="9">
        <v>4472.25390625</v>
      </c>
      <c r="R227" s="9">
        <v>30</v>
      </c>
      <c r="S227" s="9"/>
      <c r="T227" s="9">
        <v>90</v>
      </c>
      <c r="U227" s="9">
        <v>11</v>
      </c>
      <c r="V227" s="9">
        <v>1</v>
      </c>
      <c r="W227" s="9">
        <v>1</v>
      </c>
      <c r="X227" s="9">
        <v>201</v>
      </c>
      <c r="Y227" s="9">
        <v>127.755667</v>
      </c>
      <c r="Z227" s="9">
        <v>3</v>
      </c>
      <c r="AA227" s="9">
        <v>704</v>
      </c>
      <c r="AB227" s="9">
        <v>704</v>
      </c>
      <c r="AC227" s="9" t="s">
        <v>109</v>
      </c>
      <c r="AD227" s="9">
        <v>3</v>
      </c>
      <c r="AE227" s="9">
        <v>3.3</v>
      </c>
      <c r="AF227" s="9" t="s">
        <v>941</v>
      </c>
      <c r="AG227" s="9"/>
      <c r="AH227" s="9" t="s">
        <v>61</v>
      </c>
      <c r="AI227" s="10">
        <v>80.9764328002929</v>
      </c>
      <c r="AJ227" s="9">
        <v>100</v>
      </c>
      <c r="AK227" s="9" t="s">
        <v>942</v>
      </c>
      <c r="AL227" s="9">
        <v>23</v>
      </c>
      <c r="AM227" s="9"/>
      <c r="AN227" s="9" t="s">
        <v>400</v>
      </c>
      <c r="AO227" s="9" t="s">
        <v>369</v>
      </c>
      <c r="AP227" s="9" t="s">
        <v>485</v>
      </c>
      <c r="AQ227" s="9" t="s">
        <v>486</v>
      </c>
      <c r="AR227" s="9"/>
      <c r="AS227" s="9" t="s">
        <v>68</v>
      </c>
      <c r="AT227" s="9" t="s">
        <v>69</v>
      </c>
      <c r="AU227" s="9"/>
      <c r="AV227" s="9">
        <v>40</v>
      </c>
    </row>
    <row r="228" spans="1:48">
      <c r="A228" s="9">
        <f t="shared" si="3"/>
        <v>227</v>
      </c>
      <c r="B228" s="9" t="s">
        <v>934</v>
      </c>
      <c r="C228" s="9" t="s">
        <v>943</v>
      </c>
      <c r="D228" s="9">
        <v>0</v>
      </c>
      <c r="E228" s="9">
        <v>0</v>
      </c>
      <c r="F228" s="9" t="s">
        <v>72</v>
      </c>
      <c r="G228" s="9" t="s">
        <v>492</v>
      </c>
      <c r="H228" s="9"/>
      <c r="I228" s="9"/>
      <c r="J228" s="9" t="s">
        <v>53</v>
      </c>
      <c r="K228" s="9" t="s">
        <v>97</v>
      </c>
      <c r="L228" s="9" t="s">
        <v>98</v>
      </c>
      <c r="M228" s="9" t="s">
        <v>56</v>
      </c>
      <c r="N228" s="9" t="s">
        <v>99</v>
      </c>
      <c r="O228" s="9">
        <v>501</v>
      </c>
      <c r="P228" s="9" t="s">
        <v>58</v>
      </c>
      <c r="Q228" s="10">
        <v>664.940979003906</v>
      </c>
      <c r="R228" s="9">
        <v>10</v>
      </c>
      <c r="S228" s="9"/>
      <c r="T228" s="9">
        <v>90</v>
      </c>
      <c r="U228" s="9">
        <v>3</v>
      </c>
      <c r="V228" s="9">
        <v>1</v>
      </c>
      <c r="W228" s="9">
        <v>1</v>
      </c>
      <c r="X228" s="9">
        <v>362</v>
      </c>
      <c r="Y228" s="9">
        <v>127.755685</v>
      </c>
      <c r="Z228" s="9">
        <v>3</v>
      </c>
      <c r="AA228" s="9">
        <v>704</v>
      </c>
      <c r="AB228" s="9">
        <v>704</v>
      </c>
      <c r="AC228" s="9" t="s">
        <v>109</v>
      </c>
      <c r="AD228" s="9">
        <v>3</v>
      </c>
      <c r="AE228" s="9">
        <v>3.3</v>
      </c>
      <c r="AF228" s="9" t="s">
        <v>110</v>
      </c>
      <c r="AG228" s="9"/>
      <c r="AH228" s="9" t="s">
        <v>77</v>
      </c>
      <c r="AI228" s="9">
        <v>88.1748046875</v>
      </c>
      <c r="AJ228" s="9">
        <v>100</v>
      </c>
      <c r="AK228" s="9" t="s">
        <v>944</v>
      </c>
      <c r="AL228" s="9">
        <v>9</v>
      </c>
      <c r="AM228" s="9"/>
      <c r="AN228" s="9" t="s">
        <v>400</v>
      </c>
      <c r="AO228" s="9" t="s">
        <v>369</v>
      </c>
      <c r="AP228" s="9" t="s">
        <v>485</v>
      </c>
      <c r="AQ228" s="9" t="s">
        <v>486</v>
      </c>
      <c r="AR228" s="9"/>
      <c r="AS228" s="9" t="s">
        <v>68</v>
      </c>
      <c r="AT228" s="9" t="s">
        <v>69</v>
      </c>
      <c r="AU228" s="9"/>
      <c r="AV228" s="9">
        <v>30</v>
      </c>
    </row>
    <row r="229" spans="1:48">
      <c r="A229" s="9">
        <f t="shared" si="3"/>
        <v>228</v>
      </c>
      <c r="B229" s="9" t="s">
        <v>934</v>
      </c>
      <c r="C229" s="9" t="s">
        <v>945</v>
      </c>
      <c r="D229" s="9">
        <v>1</v>
      </c>
      <c r="E229" s="9">
        <v>1</v>
      </c>
      <c r="F229" s="9" t="s">
        <v>72</v>
      </c>
      <c r="G229" s="9" t="s">
        <v>495</v>
      </c>
      <c r="H229" s="9"/>
      <c r="I229" s="9"/>
      <c r="J229" s="9" t="s">
        <v>53</v>
      </c>
      <c r="K229" s="9" t="s">
        <v>97</v>
      </c>
      <c r="L229" s="9" t="s">
        <v>113</v>
      </c>
      <c r="M229" s="9" t="s">
        <v>56</v>
      </c>
      <c r="N229" s="9" t="s">
        <v>99</v>
      </c>
      <c r="O229" s="9">
        <v>401</v>
      </c>
      <c r="P229" s="9" t="s">
        <v>58</v>
      </c>
      <c r="Q229" s="10">
        <v>2565.34643554687</v>
      </c>
      <c r="R229" s="9">
        <v>30</v>
      </c>
      <c r="S229" s="9"/>
      <c r="T229" s="9">
        <v>90</v>
      </c>
      <c r="U229" s="9">
        <v>11</v>
      </c>
      <c r="V229" s="9">
        <v>1</v>
      </c>
      <c r="W229" s="9">
        <v>2</v>
      </c>
      <c r="X229" s="9">
        <v>295</v>
      </c>
      <c r="Y229" s="9">
        <v>127.755715</v>
      </c>
      <c r="Z229" s="9">
        <v>3</v>
      </c>
      <c r="AA229" s="9">
        <v>640</v>
      </c>
      <c r="AB229" s="9">
        <v>640</v>
      </c>
      <c r="AC229" s="9" t="s">
        <v>100</v>
      </c>
      <c r="AD229" s="9">
        <v>3</v>
      </c>
      <c r="AE229" s="9">
        <v>3.3</v>
      </c>
      <c r="AF229" s="9" t="s">
        <v>946</v>
      </c>
      <c r="AG229" s="9"/>
      <c r="AH229" s="9" t="s">
        <v>77</v>
      </c>
      <c r="AI229" s="10">
        <v>86.6323928833007</v>
      </c>
      <c r="AJ229" s="9">
        <v>100</v>
      </c>
      <c r="AK229" s="9" t="s">
        <v>944</v>
      </c>
      <c r="AL229" s="9">
        <v>18</v>
      </c>
      <c r="AM229" s="9"/>
      <c r="AN229" s="9" t="s">
        <v>400</v>
      </c>
      <c r="AO229" s="9" t="s">
        <v>369</v>
      </c>
      <c r="AP229" s="9" t="s">
        <v>485</v>
      </c>
      <c r="AQ229" s="9" t="s">
        <v>486</v>
      </c>
      <c r="AR229" s="9"/>
      <c r="AS229" s="9" t="s">
        <v>68</v>
      </c>
      <c r="AT229" s="9" t="s">
        <v>69</v>
      </c>
      <c r="AU229" s="9"/>
      <c r="AV229" s="9">
        <v>30</v>
      </c>
    </row>
    <row r="230" spans="1:48">
      <c r="A230" s="9">
        <f t="shared" si="3"/>
        <v>229</v>
      </c>
      <c r="B230" s="9" t="s">
        <v>934</v>
      </c>
      <c r="C230" s="9" t="s">
        <v>947</v>
      </c>
      <c r="D230" s="9">
        <v>1</v>
      </c>
      <c r="E230" s="9">
        <v>1</v>
      </c>
      <c r="F230" s="9" t="s">
        <v>91</v>
      </c>
      <c r="G230" s="9" t="s">
        <v>501</v>
      </c>
      <c r="H230" s="9"/>
      <c r="I230" s="9"/>
      <c r="J230" s="9" t="s">
        <v>53</v>
      </c>
      <c r="K230" s="9" t="s">
        <v>97</v>
      </c>
      <c r="L230" s="9" t="s">
        <v>113</v>
      </c>
      <c r="M230" s="9" t="s">
        <v>56</v>
      </c>
      <c r="N230" s="9" t="s">
        <v>99</v>
      </c>
      <c r="O230" s="9">
        <v>301</v>
      </c>
      <c r="P230" s="9" t="s">
        <v>58</v>
      </c>
      <c r="Q230" s="9">
        <v>4263.001953125</v>
      </c>
      <c r="R230" s="9">
        <v>30</v>
      </c>
      <c r="S230" s="9"/>
      <c r="T230" s="9">
        <v>90</v>
      </c>
      <c r="U230" s="9">
        <v>11</v>
      </c>
      <c r="V230" s="9">
        <v>1</v>
      </c>
      <c r="W230" s="9">
        <v>1</v>
      </c>
      <c r="X230" s="9">
        <v>227</v>
      </c>
      <c r="Y230" s="9">
        <v>127.7557</v>
      </c>
      <c r="Z230" s="9">
        <v>3</v>
      </c>
      <c r="AA230" s="9">
        <v>640</v>
      </c>
      <c r="AB230" s="9">
        <v>640</v>
      </c>
      <c r="AC230" s="9" t="s">
        <v>100</v>
      </c>
      <c r="AD230" s="9">
        <v>3</v>
      </c>
      <c r="AE230" s="9">
        <v>3.3</v>
      </c>
      <c r="AF230" s="9" t="s">
        <v>948</v>
      </c>
      <c r="AG230" s="9"/>
      <c r="AH230" s="9" t="s">
        <v>77</v>
      </c>
      <c r="AI230" s="10">
        <v>83.2904891967773</v>
      </c>
      <c r="AJ230" s="9">
        <v>100</v>
      </c>
      <c r="AK230" s="9" t="s">
        <v>949</v>
      </c>
      <c r="AL230" s="9">
        <v>29</v>
      </c>
      <c r="AM230" s="9"/>
      <c r="AN230" s="9" t="s">
        <v>400</v>
      </c>
      <c r="AO230" s="9" t="s">
        <v>369</v>
      </c>
      <c r="AP230" s="9" t="s">
        <v>485</v>
      </c>
      <c r="AQ230" s="9" t="s">
        <v>486</v>
      </c>
      <c r="AR230" s="9"/>
      <c r="AS230" s="9" t="s">
        <v>68</v>
      </c>
      <c r="AT230" s="9" t="s">
        <v>69</v>
      </c>
      <c r="AU230" s="9"/>
      <c r="AV230" s="9">
        <v>42</v>
      </c>
    </row>
    <row r="231" spans="1:48">
      <c r="A231" s="9">
        <f t="shared" si="3"/>
        <v>230</v>
      </c>
      <c r="B231" s="9" t="s">
        <v>950</v>
      </c>
      <c r="C231" s="9" t="s">
        <v>951</v>
      </c>
      <c r="D231" s="9">
        <v>1</v>
      </c>
      <c r="E231" s="9">
        <v>1</v>
      </c>
      <c r="F231" s="9" t="s">
        <v>91</v>
      </c>
      <c r="G231" s="9" t="s">
        <v>952</v>
      </c>
      <c r="H231" s="9"/>
      <c r="I231" s="9" t="s">
        <v>953</v>
      </c>
      <c r="J231" s="9" t="s">
        <v>53</v>
      </c>
      <c r="K231" s="9" t="s">
        <v>54</v>
      </c>
      <c r="L231" s="9" t="s">
        <v>55</v>
      </c>
      <c r="M231" s="9" t="s">
        <v>56</v>
      </c>
      <c r="N231" s="9" t="s">
        <v>344</v>
      </c>
      <c r="O231" s="9">
        <v>8</v>
      </c>
      <c r="P231" s="9" t="s">
        <v>58</v>
      </c>
      <c r="Q231" s="9">
        <v>5770</v>
      </c>
      <c r="R231" s="9">
        <v>25</v>
      </c>
      <c r="S231" s="9">
        <v>200</v>
      </c>
      <c r="T231" s="9">
        <v>120</v>
      </c>
      <c r="U231" s="9">
        <v>12</v>
      </c>
      <c r="V231" s="9"/>
      <c r="W231" s="9">
        <v>1</v>
      </c>
      <c r="X231" s="9">
        <v>244</v>
      </c>
      <c r="Y231" s="9">
        <v>123.251362</v>
      </c>
      <c r="Z231" s="9">
        <v>3</v>
      </c>
      <c r="AA231" s="9">
        <v>320</v>
      </c>
      <c r="AB231" s="9">
        <v>320</v>
      </c>
      <c r="AC231" s="9" t="s">
        <v>83</v>
      </c>
      <c r="AD231" s="9">
        <v>4</v>
      </c>
      <c r="AE231" s="9">
        <v>4.4</v>
      </c>
      <c r="AF231" s="9" t="s">
        <v>336</v>
      </c>
      <c r="AG231" s="9"/>
      <c r="AH231" s="9" t="s">
        <v>61</v>
      </c>
      <c r="AI231" s="9">
        <v>80</v>
      </c>
      <c r="AJ231" s="9">
        <v>100</v>
      </c>
      <c r="AK231" s="9" t="s">
        <v>954</v>
      </c>
      <c r="AL231" s="9">
        <v>1</v>
      </c>
      <c r="AM231" s="9"/>
      <c r="AN231" s="9" t="s">
        <v>63</v>
      </c>
      <c r="AO231" s="9" t="s">
        <v>955</v>
      </c>
      <c r="AP231" s="9" t="s">
        <v>895</v>
      </c>
      <c r="AQ231" s="9" t="s">
        <v>896</v>
      </c>
      <c r="AR231" s="9" t="s">
        <v>67</v>
      </c>
      <c r="AS231" s="9" t="s">
        <v>68</v>
      </c>
      <c r="AT231" s="9" t="s">
        <v>69</v>
      </c>
      <c r="AU231" s="9" t="s">
        <v>70</v>
      </c>
      <c r="AV231" s="9">
        <v>36</v>
      </c>
    </row>
    <row r="232" spans="1:48">
      <c r="A232" s="9">
        <f t="shared" si="3"/>
        <v>231</v>
      </c>
      <c r="B232" s="9" t="s">
        <v>950</v>
      </c>
      <c r="C232" s="9" t="s">
        <v>956</v>
      </c>
      <c r="D232" s="9">
        <v>0</v>
      </c>
      <c r="E232" s="9">
        <v>0</v>
      </c>
      <c r="F232" s="9" t="s">
        <v>72</v>
      </c>
      <c r="G232" s="9" t="s">
        <v>957</v>
      </c>
      <c r="H232" s="9"/>
      <c r="I232" s="9" t="s">
        <v>666</v>
      </c>
      <c r="J232" s="9" t="s">
        <v>53</v>
      </c>
      <c r="K232" s="9" t="s">
        <v>54</v>
      </c>
      <c r="L232" s="9" t="s">
        <v>356</v>
      </c>
      <c r="M232" s="9" t="s">
        <v>56</v>
      </c>
      <c r="N232" s="9" t="s">
        <v>344</v>
      </c>
      <c r="O232" s="9">
        <v>4</v>
      </c>
      <c r="P232" s="9" t="s">
        <v>58</v>
      </c>
      <c r="Q232" s="9">
        <v>3540</v>
      </c>
      <c r="R232" s="9">
        <v>40</v>
      </c>
      <c r="S232" s="9"/>
      <c r="T232" s="9">
        <v>120</v>
      </c>
      <c r="U232" s="9">
        <v>14</v>
      </c>
      <c r="V232" s="9"/>
      <c r="W232" s="9">
        <v>1</v>
      </c>
      <c r="X232" s="9">
        <v>224</v>
      </c>
      <c r="Y232" s="9">
        <v>123.251362</v>
      </c>
      <c r="Z232" s="9">
        <v>3</v>
      </c>
      <c r="AA232" s="9">
        <v>384</v>
      </c>
      <c r="AB232" s="9">
        <v>384</v>
      </c>
      <c r="AC232" s="9" t="s">
        <v>345</v>
      </c>
      <c r="AD232" s="9">
        <v>4.5</v>
      </c>
      <c r="AE232" s="9">
        <v>4.95</v>
      </c>
      <c r="AF232" s="9" t="s">
        <v>958</v>
      </c>
      <c r="AG232" s="9"/>
      <c r="AH232" s="9" t="s">
        <v>61</v>
      </c>
      <c r="AI232" s="9">
        <v>90</v>
      </c>
      <c r="AJ232" s="9">
        <v>100</v>
      </c>
      <c r="AK232" s="9" t="s">
        <v>959</v>
      </c>
      <c r="AL232" s="9">
        <v>23</v>
      </c>
      <c r="AM232" s="9"/>
      <c r="AN232" s="9" t="s">
        <v>63</v>
      </c>
      <c r="AO232" s="9" t="s">
        <v>955</v>
      </c>
      <c r="AP232" s="9" t="s">
        <v>895</v>
      </c>
      <c r="AQ232" s="9" t="s">
        <v>896</v>
      </c>
      <c r="AR232" s="9" t="s">
        <v>67</v>
      </c>
      <c r="AS232" s="9" t="s">
        <v>68</v>
      </c>
      <c r="AT232" s="9" t="s">
        <v>69</v>
      </c>
      <c r="AU232" s="9" t="s">
        <v>70</v>
      </c>
      <c r="AV232" s="9">
        <v>23</v>
      </c>
    </row>
    <row r="233" spans="1:48">
      <c r="A233" s="9">
        <f t="shared" si="3"/>
        <v>232</v>
      </c>
      <c r="B233" s="9" t="s">
        <v>950</v>
      </c>
      <c r="C233" s="9" t="s">
        <v>960</v>
      </c>
      <c r="D233" s="9">
        <v>1</v>
      </c>
      <c r="E233" s="9">
        <v>1</v>
      </c>
      <c r="F233" s="9" t="s">
        <v>50</v>
      </c>
      <c r="G233" s="9" t="s">
        <v>961</v>
      </c>
      <c r="H233" s="9"/>
      <c r="I233" s="9" t="s">
        <v>81</v>
      </c>
      <c r="J233" s="9" t="s">
        <v>53</v>
      </c>
      <c r="K233" s="9" t="s">
        <v>54</v>
      </c>
      <c r="L233" s="9" t="s">
        <v>803</v>
      </c>
      <c r="M233" s="9" t="s">
        <v>56</v>
      </c>
      <c r="N233" s="9" t="s">
        <v>57</v>
      </c>
      <c r="O233" s="9">
        <v>9</v>
      </c>
      <c r="P233" s="9" t="s">
        <v>58</v>
      </c>
      <c r="Q233" s="9">
        <v>1950</v>
      </c>
      <c r="R233" s="9">
        <v>14</v>
      </c>
      <c r="S233" s="9"/>
      <c r="T233" s="9">
        <v>120</v>
      </c>
      <c r="U233" s="9">
        <v>4</v>
      </c>
      <c r="V233" s="9"/>
      <c r="W233" s="9">
        <v>1</v>
      </c>
      <c r="X233" s="9">
        <v>150</v>
      </c>
      <c r="Y233" s="9">
        <v>123.251353</v>
      </c>
      <c r="Z233" s="9">
        <v>3</v>
      </c>
      <c r="AA233" s="9">
        <v>384</v>
      </c>
      <c r="AB233" s="9">
        <v>384</v>
      </c>
      <c r="AC233" s="9" t="s">
        <v>345</v>
      </c>
      <c r="AD233" s="9">
        <v>5</v>
      </c>
      <c r="AE233" s="9">
        <v>5.5</v>
      </c>
      <c r="AF233" s="9" t="s">
        <v>958</v>
      </c>
      <c r="AG233" s="9"/>
      <c r="AH233" s="9" t="s">
        <v>61</v>
      </c>
      <c r="AI233" s="9">
        <v>90</v>
      </c>
      <c r="AJ233" s="9">
        <v>100</v>
      </c>
      <c r="AK233" s="9" t="s">
        <v>962</v>
      </c>
      <c r="AL233" s="9">
        <v>17</v>
      </c>
      <c r="AM233" s="9"/>
      <c r="AN233" s="9" t="s">
        <v>63</v>
      </c>
      <c r="AO233" s="9" t="s">
        <v>955</v>
      </c>
      <c r="AP233" s="9" t="s">
        <v>895</v>
      </c>
      <c r="AQ233" s="9" t="s">
        <v>896</v>
      </c>
      <c r="AR233" s="9" t="s">
        <v>67</v>
      </c>
      <c r="AS233" s="9" t="s">
        <v>68</v>
      </c>
      <c r="AT233" s="9" t="s">
        <v>69</v>
      </c>
      <c r="AU233" s="9" t="s">
        <v>70</v>
      </c>
      <c r="AV233" s="9">
        <v>25</v>
      </c>
    </row>
    <row r="234" spans="1:48">
      <c r="A234" s="9">
        <f t="shared" si="3"/>
        <v>233</v>
      </c>
      <c r="B234" s="9" t="s">
        <v>950</v>
      </c>
      <c r="C234" s="9" t="s">
        <v>963</v>
      </c>
      <c r="D234" s="9">
        <v>0</v>
      </c>
      <c r="E234" s="9">
        <v>0</v>
      </c>
      <c r="F234" s="9" t="s">
        <v>50</v>
      </c>
      <c r="G234" s="9" t="s">
        <v>964</v>
      </c>
      <c r="H234" s="9"/>
      <c r="I234" s="9" t="s">
        <v>666</v>
      </c>
      <c r="J234" s="9" t="s">
        <v>53</v>
      </c>
      <c r="K234" s="9" t="s">
        <v>54</v>
      </c>
      <c r="L234" s="9" t="s">
        <v>55</v>
      </c>
      <c r="M234" s="9" t="s">
        <v>56</v>
      </c>
      <c r="N234" s="9" t="s">
        <v>344</v>
      </c>
      <c r="O234" s="9">
        <v>6</v>
      </c>
      <c r="P234" s="9" t="s">
        <v>58</v>
      </c>
      <c r="Q234" s="9">
        <v>3320</v>
      </c>
      <c r="R234" s="9">
        <v>34</v>
      </c>
      <c r="S234" s="9"/>
      <c r="T234" s="9">
        <v>120</v>
      </c>
      <c r="U234" s="9">
        <v>14</v>
      </c>
      <c r="V234" s="9"/>
      <c r="W234" s="9">
        <v>1</v>
      </c>
      <c r="X234" s="9">
        <v>260</v>
      </c>
      <c r="Y234" s="9">
        <v>123.251362</v>
      </c>
      <c r="Z234" s="9">
        <v>3</v>
      </c>
      <c r="AA234" s="9">
        <v>384</v>
      </c>
      <c r="AB234" s="9">
        <v>384</v>
      </c>
      <c r="AC234" s="9" t="s">
        <v>345</v>
      </c>
      <c r="AD234" s="9">
        <v>4</v>
      </c>
      <c r="AE234" s="9">
        <v>4.4</v>
      </c>
      <c r="AF234" s="9" t="s">
        <v>346</v>
      </c>
      <c r="AG234" s="9"/>
      <c r="AH234" s="9" t="s">
        <v>77</v>
      </c>
      <c r="AI234" s="9">
        <v>75</v>
      </c>
      <c r="AJ234" s="9">
        <v>100</v>
      </c>
      <c r="AK234" s="9" t="s">
        <v>965</v>
      </c>
      <c r="AL234" s="9">
        <v>14</v>
      </c>
      <c r="AM234" s="9"/>
      <c r="AN234" s="9" t="s">
        <v>63</v>
      </c>
      <c r="AO234" s="9" t="s">
        <v>955</v>
      </c>
      <c r="AP234" s="9" t="s">
        <v>895</v>
      </c>
      <c r="AQ234" s="9" t="s">
        <v>896</v>
      </c>
      <c r="AR234" s="9" t="s">
        <v>67</v>
      </c>
      <c r="AS234" s="9" t="s">
        <v>68</v>
      </c>
      <c r="AT234" s="9" t="s">
        <v>69</v>
      </c>
      <c r="AU234" s="9" t="s">
        <v>70</v>
      </c>
      <c r="AV234" s="9">
        <v>26</v>
      </c>
    </row>
    <row r="235" spans="1:48">
      <c r="A235" s="9">
        <f t="shared" si="3"/>
        <v>234</v>
      </c>
      <c r="B235" s="9" t="s">
        <v>966</v>
      </c>
      <c r="C235" s="9" t="s">
        <v>967</v>
      </c>
      <c r="D235" s="9">
        <v>0</v>
      </c>
      <c r="E235" s="9">
        <v>0</v>
      </c>
      <c r="F235" s="9" t="s">
        <v>72</v>
      </c>
      <c r="G235" s="9" t="s">
        <v>539</v>
      </c>
      <c r="H235" s="9"/>
      <c r="I235" s="9" t="s">
        <v>74</v>
      </c>
      <c r="J235" s="9" t="s">
        <v>53</v>
      </c>
      <c r="K235" s="9" t="s">
        <v>54</v>
      </c>
      <c r="L235" s="9" t="s">
        <v>55</v>
      </c>
      <c r="M235" s="9" t="s">
        <v>56</v>
      </c>
      <c r="N235" s="9" t="s">
        <v>524</v>
      </c>
      <c r="O235" s="9">
        <v>12</v>
      </c>
      <c r="P235" s="9" t="s">
        <v>58</v>
      </c>
      <c r="Q235" s="9">
        <v>684</v>
      </c>
      <c r="R235" s="9">
        <v>12</v>
      </c>
      <c r="S235" s="9"/>
      <c r="T235" s="9">
        <v>180</v>
      </c>
      <c r="U235" s="9">
        <v>3</v>
      </c>
      <c r="V235" s="9">
        <v>1</v>
      </c>
      <c r="W235" s="9">
        <v>1</v>
      </c>
      <c r="X235" s="9">
        <v>200</v>
      </c>
      <c r="Y235" s="9">
        <v>123.235141</v>
      </c>
      <c r="Z235" s="9">
        <v>3</v>
      </c>
      <c r="AA235" s="9">
        <v>640</v>
      </c>
      <c r="AB235" s="9">
        <v>540</v>
      </c>
      <c r="AC235" s="9" t="s">
        <v>100</v>
      </c>
      <c r="AD235" s="9">
        <v>3</v>
      </c>
      <c r="AE235" s="9">
        <v>3.6</v>
      </c>
      <c r="AF235" s="9" t="s">
        <v>540</v>
      </c>
      <c r="AG235" s="9"/>
      <c r="AH235" s="9" t="s">
        <v>77</v>
      </c>
      <c r="AI235" s="9">
        <v>100</v>
      </c>
      <c r="AJ235" s="9">
        <v>84.375</v>
      </c>
      <c r="AK235" s="9" t="s">
        <v>968</v>
      </c>
      <c r="AL235" s="9">
        <v>8</v>
      </c>
      <c r="AM235" s="9"/>
      <c r="AN235" s="9" t="s">
        <v>63</v>
      </c>
      <c r="AO235" s="9" t="s">
        <v>527</v>
      </c>
      <c r="AP235" s="9" t="s">
        <v>349</v>
      </c>
      <c r="AQ235" s="9" t="s">
        <v>528</v>
      </c>
      <c r="AR235" s="9" t="s">
        <v>528</v>
      </c>
      <c r="AS235" s="9" t="s">
        <v>68</v>
      </c>
      <c r="AT235" s="9" t="s">
        <v>69</v>
      </c>
      <c r="AU235" s="9" t="s">
        <v>70</v>
      </c>
      <c r="AV235" s="9">
        <v>30</v>
      </c>
    </row>
    <row r="236" spans="1:48">
      <c r="A236" s="9">
        <f t="shared" si="3"/>
        <v>235</v>
      </c>
      <c r="B236" s="9" t="s">
        <v>966</v>
      </c>
      <c r="C236" s="9" t="s">
        <v>969</v>
      </c>
      <c r="D236" s="9">
        <v>1</v>
      </c>
      <c r="E236" s="9">
        <v>1</v>
      </c>
      <c r="F236" s="9" t="s">
        <v>72</v>
      </c>
      <c r="G236" s="9" t="s">
        <v>543</v>
      </c>
      <c r="H236" s="9"/>
      <c r="I236" s="9" t="s">
        <v>544</v>
      </c>
      <c r="J236" s="9" t="s">
        <v>53</v>
      </c>
      <c r="K236" s="9" t="s">
        <v>54</v>
      </c>
      <c r="L236" s="9" t="s">
        <v>82</v>
      </c>
      <c r="M236" s="9" t="s">
        <v>56</v>
      </c>
      <c r="N236" s="9" t="s">
        <v>524</v>
      </c>
      <c r="O236" s="9">
        <v>11</v>
      </c>
      <c r="P236" s="9" t="s">
        <v>58</v>
      </c>
      <c r="Q236" s="9">
        <v>2300</v>
      </c>
      <c r="R236" s="9">
        <v>32</v>
      </c>
      <c r="S236" s="9"/>
      <c r="T236" s="9">
        <v>150</v>
      </c>
      <c r="U236" s="9">
        <v>7</v>
      </c>
      <c r="V236" s="9">
        <v>1</v>
      </c>
      <c r="W236" s="9">
        <v>1</v>
      </c>
      <c r="X236" s="9">
        <v>182</v>
      </c>
      <c r="Y236" s="9">
        <v>123.235141</v>
      </c>
      <c r="Z236" s="9">
        <v>3</v>
      </c>
      <c r="AA236" s="9">
        <v>640</v>
      </c>
      <c r="AB236" s="9">
        <v>540</v>
      </c>
      <c r="AC236" s="9" t="s">
        <v>100</v>
      </c>
      <c r="AD236" s="9">
        <v>3</v>
      </c>
      <c r="AE236" s="9">
        <v>3.6</v>
      </c>
      <c r="AF236" s="9" t="s">
        <v>545</v>
      </c>
      <c r="AG236" s="9"/>
      <c r="AH236" s="9" t="s">
        <v>77</v>
      </c>
      <c r="AI236" s="9">
        <v>75</v>
      </c>
      <c r="AJ236" s="9">
        <v>84.375</v>
      </c>
      <c r="AK236" s="9" t="s">
        <v>968</v>
      </c>
      <c r="AL236" s="9">
        <v>6</v>
      </c>
      <c r="AM236" s="9"/>
      <c r="AN236" s="9" t="s">
        <v>63</v>
      </c>
      <c r="AO236" s="9" t="s">
        <v>527</v>
      </c>
      <c r="AP236" s="9" t="s">
        <v>349</v>
      </c>
      <c r="AQ236" s="9" t="s">
        <v>528</v>
      </c>
      <c r="AR236" s="9" t="s">
        <v>528</v>
      </c>
      <c r="AS236" s="9" t="s">
        <v>68</v>
      </c>
      <c r="AT236" s="9" t="s">
        <v>69</v>
      </c>
      <c r="AU236" s="9" t="s">
        <v>70</v>
      </c>
      <c r="AV236" s="9">
        <v>30</v>
      </c>
    </row>
    <row r="237" spans="1:48">
      <c r="A237" s="9">
        <f t="shared" si="3"/>
        <v>236</v>
      </c>
      <c r="B237" s="9" t="s">
        <v>966</v>
      </c>
      <c r="C237" s="9" t="s">
        <v>970</v>
      </c>
      <c r="D237" s="9">
        <v>1</v>
      </c>
      <c r="E237" s="9">
        <v>1</v>
      </c>
      <c r="F237" s="9" t="s">
        <v>91</v>
      </c>
      <c r="G237" s="9" t="s">
        <v>522</v>
      </c>
      <c r="H237" s="9"/>
      <c r="I237" s="9" t="s">
        <v>523</v>
      </c>
      <c r="J237" s="9" t="s">
        <v>53</v>
      </c>
      <c r="K237" s="9" t="s">
        <v>54</v>
      </c>
      <c r="L237" s="9" t="s">
        <v>343</v>
      </c>
      <c r="M237" s="9" t="s">
        <v>56</v>
      </c>
      <c r="N237" s="9" t="s">
        <v>524</v>
      </c>
      <c r="O237" s="9">
        <v>10</v>
      </c>
      <c r="P237" s="9" t="s">
        <v>58</v>
      </c>
      <c r="Q237" s="9">
        <v>4110</v>
      </c>
      <c r="R237" s="9">
        <v>39</v>
      </c>
      <c r="S237" s="9"/>
      <c r="T237" s="9">
        <v>180</v>
      </c>
      <c r="U237" s="9">
        <v>9</v>
      </c>
      <c r="V237" s="9">
        <v>1</v>
      </c>
      <c r="W237" s="9">
        <v>1</v>
      </c>
      <c r="X237" s="9">
        <v>147</v>
      </c>
      <c r="Y237" s="9">
        <v>123.235135</v>
      </c>
      <c r="Z237" s="9">
        <v>3</v>
      </c>
      <c r="AA237" s="9">
        <v>640</v>
      </c>
      <c r="AB237" s="9">
        <v>640</v>
      </c>
      <c r="AC237" s="9" t="s">
        <v>525</v>
      </c>
      <c r="AD237" s="9">
        <v>3</v>
      </c>
      <c r="AE237" s="9">
        <v>3.6</v>
      </c>
      <c r="AF237" s="9" t="s">
        <v>234</v>
      </c>
      <c r="AG237" s="9"/>
      <c r="AH237" s="9" t="s">
        <v>77</v>
      </c>
      <c r="AI237" s="9">
        <v>80</v>
      </c>
      <c r="AJ237" s="9">
        <v>100</v>
      </c>
      <c r="AK237" s="9" t="s">
        <v>971</v>
      </c>
      <c r="AL237" s="9">
        <v>14</v>
      </c>
      <c r="AM237" s="9"/>
      <c r="AN237" s="9" t="s">
        <v>63</v>
      </c>
      <c r="AO237" s="9" t="s">
        <v>527</v>
      </c>
      <c r="AP237" s="9" t="s">
        <v>349</v>
      </c>
      <c r="AQ237" s="9" t="s">
        <v>528</v>
      </c>
      <c r="AR237" s="9" t="s">
        <v>528</v>
      </c>
      <c r="AS237" s="9" t="s">
        <v>68</v>
      </c>
      <c r="AT237" s="9" t="s">
        <v>69</v>
      </c>
      <c r="AU237" s="9" t="s">
        <v>70</v>
      </c>
      <c r="AV237" s="9">
        <v>38</v>
      </c>
    </row>
    <row r="238" spans="1:48">
      <c r="A238" s="9">
        <f t="shared" si="3"/>
        <v>237</v>
      </c>
      <c r="B238" s="9" t="s">
        <v>966</v>
      </c>
      <c r="C238" s="9" t="s">
        <v>972</v>
      </c>
      <c r="D238" s="9">
        <v>0</v>
      </c>
      <c r="E238" s="9">
        <v>0</v>
      </c>
      <c r="F238" s="9" t="s">
        <v>50</v>
      </c>
      <c r="G238" s="9" t="s">
        <v>530</v>
      </c>
      <c r="H238" s="9"/>
      <c r="I238" s="9" t="s">
        <v>531</v>
      </c>
      <c r="J238" s="9" t="s">
        <v>53</v>
      </c>
      <c r="K238" s="9" t="s">
        <v>54</v>
      </c>
      <c r="L238" s="9" t="s">
        <v>356</v>
      </c>
      <c r="M238" s="9" t="s">
        <v>56</v>
      </c>
      <c r="N238" s="9" t="s">
        <v>524</v>
      </c>
      <c r="O238" s="9">
        <v>9</v>
      </c>
      <c r="P238" s="9" t="s">
        <v>58</v>
      </c>
      <c r="Q238" s="9">
        <v>2200</v>
      </c>
      <c r="R238" s="9">
        <v>32</v>
      </c>
      <c r="S238" s="9"/>
      <c r="T238" s="9">
        <v>180</v>
      </c>
      <c r="U238" s="9">
        <v>9</v>
      </c>
      <c r="V238" s="9">
        <v>1</v>
      </c>
      <c r="W238" s="9">
        <v>1</v>
      </c>
      <c r="X238" s="9">
        <v>186</v>
      </c>
      <c r="Y238" s="9">
        <v>123.23513</v>
      </c>
      <c r="Z238" s="9">
        <v>3</v>
      </c>
      <c r="AA238" s="9">
        <v>768</v>
      </c>
      <c r="AB238" s="9">
        <v>768</v>
      </c>
      <c r="AC238" s="9" t="s">
        <v>532</v>
      </c>
      <c r="AD238" s="9">
        <v>2.5</v>
      </c>
      <c r="AE238" s="9">
        <v>3</v>
      </c>
      <c r="AF238" s="9" t="s">
        <v>533</v>
      </c>
      <c r="AG238" s="9"/>
      <c r="AH238" s="9" t="s">
        <v>61</v>
      </c>
      <c r="AI238" s="9">
        <v>75</v>
      </c>
      <c r="AJ238" s="9">
        <v>100</v>
      </c>
      <c r="AK238" s="9" t="s">
        <v>973</v>
      </c>
      <c r="AL238" s="9">
        <v>15</v>
      </c>
      <c r="AM238" s="9"/>
      <c r="AN238" s="9" t="s">
        <v>63</v>
      </c>
      <c r="AO238" s="9" t="s">
        <v>527</v>
      </c>
      <c r="AP238" s="9" t="s">
        <v>349</v>
      </c>
      <c r="AQ238" s="9" t="s">
        <v>528</v>
      </c>
      <c r="AR238" s="9" t="s">
        <v>528</v>
      </c>
      <c r="AS238" s="9" t="s">
        <v>68</v>
      </c>
      <c r="AT238" s="9" t="s">
        <v>69</v>
      </c>
      <c r="AU238" s="9" t="s">
        <v>70</v>
      </c>
      <c r="AV238" s="9">
        <v>34</v>
      </c>
    </row>
    <row r="239" spans="1:48">
      <c r="A239" s="9">
        <f t="shared" si="3"/>
        <v>238</v>
      </c>
      <c r="B239" s="9" t="s">
        <v>966</v>
      </c>
      <c r="C239" s="9" t="s">
        <v>974</v>
      </c>
      <c r="D239" s="9">
        <v>1</v>
      </c>
      <c r="E239" s="9">
        <v>1</v>
      </c>
      <c r="F239" s="9" t="s">
        <v>50</v>
      </c>
      <c r="G239" s="9" t="s">
        <v>536</v>
      </c>
      <c r="H239" s="9"/>
      <c r="I239" s="9" t="s">
        <v>531</v>
      </c>
      <c r="J239" s="9" t="s">
        <v>53</v>
      </c>
      <c r="K239" s="9" t="s">
        <v>54</v>
      </c>
      <c r="L239" s="9" t="s">
        <v>343</v>
      </c>
      <c r="M239" s="9" t="s">
        <v>56</v>
      </c>
      <c r="N239" s="9" t="s">
        <v>524</v>
      </c>
      <c r="O239" s="9">
        <v>8</v>
      </c>
      <c r="P239" s="9" t="s">
        <v>58</v>
      </c>
      <c r="Q239" s="9">
        <v>2500</v>
      </c>
      <c r="R239" s="9">
        <v>33</v>
      </c>
      <c r="S239" s="9"/>
      <c r="T239" s="9">
        <v>180</v>
      </c>
      <c r="U239" s="9">
        <v>9</v>
      </c>
      <c r="V239" s="9">
        <v>1</v>
      </c>
      <c r="W239" s="9">
        <v>1</v>
      </c>
      <c r="X239" s="9">
        <v>186</v>
      </c>
      <c r="Y239" s="9">
        <v>123.23513</v>
      </c>
      <c r="Z239" s="9">
        <v>3</v>
      </c>
      <c r="AA239" s="9">
        <v>768</v>
      </c>
      <c r="AB239" s="9">
        <v>768</v>
      </c>
      <c r="AC239" s="9" t="s">
        <v>532</v>
      </c>
      <c r="AD239" s="9">
        <v>2.5</v>
      </c>
      <c r="AE239" s="9">
        <v>3</v>
      </c>
      <c r="AF239" s="9" t="s">
        <v>537</v>
      </c>
      <c r="AG239" s="9"/>
      <c r="AH239" s="9" t="s">
        <v>61</v>
      </c>
      <c r="AI239" s="9">
        <v>70</v>
      </c>
      <c r="AJ239" s="9">
        <v>100</v>
      </c>
      <c r="AK239" s="9" t="s">
        <v>973</v>
      </c>
      <c r="AL239" s="9">
        <v>20</v>
      </c>
      <c r="AM239" s="9"/>
      <c r="AN239" s="9" t="s">
        <v>63</v>
      </c>
      <c r="AO239" s="9" t="s">
        <v>527</v>
      </c>
      <c r="AP239" s="9" t="s">
        <v>349</v>
      </c>
      <c r="AQ239" s="9" t="s">
        <v>528</v>
      </c>
      <c r="AR239" s="9" t="s">
        <v>528</v>
      </c>
      <c r="AS239" s="9" t="s">
        <v>68</v>
      </c>
      <c r="AT239" s="9" t="s">
        <v>69</v>
      </c>
      <c r="AU239" s="9" t="s">
        <v>70</v>
      </c>
      <c r="AV239" s="9">
        <v>34</v>
      </c>
    </row>
    <row r="240" spans="1:48">
      <c r="A240" s="9">
        <f t="shared" si="3"/>
        <v>239</v>
      </c>
      <c r="B240" s="9" t="s">
        <v>975</v>
      </c>
      <c r="C240" s="9" t="s">
        <v>976</v>
      </c>
      <c r="D240" s="9">
        <v>0</v>
      </c>
      <c r="E240" s="9">
        <v>0</v>
      </c>
      <c r="F240" s="9" t="s">
        <v>72</v>
      </c>
      <c r="G240" s="9" t="s">
        <v>977</v>
      </c>
      <c r="H240" s="9"/>
      <c r="I240" s="9"/>
      <c r="J240" s="9" t="s">
        <v>53</v>
      </c>
      <c r="K240" s="9" t="s">
        <v>97</v>
      </c>
      <c r="L240" s="9" t="s">
        <v>98</v>
      </c>
      <c r="M240" s="9" t="s">
        <v>56</v>
      </c>
      <c r="N240" s="9" t="s">
        <v>99</v>
      </c>
      <c r="O240" s="9">
        <v>601</v>
      </c>
      <c r="P240" s="9" t="s">
        <v>58</v>
      </c>
      <c r="Q240" s="9">
        <v>3000</v>
      </c>
      <c r="R240" s="9">
        <v>30</v>
      </c>
      <c r="S240" s="9"/>
      <c r="T240" s="9">
        <v>90</v>
      </c>
      <c r="U240" s="9">
        <v>20</v>
      </c>
      <c r="V240" s="9">
        <v>1</v>
      </c>
      <c r="W240" s="9">
        <v>2</v>
      </c>
      <c r="X240" s="9">
        <v>376</v>
      </c>
      <c r="Y240" s="9">
        <v>63.890721</v>
      </c>
      <c r="Z240" s="9">
        <v>1.5</v>
      </c>
      <c r="AA240" s="9">
        <v>528</v>
      </c>
      <c r="AB240" s="9">
        <v>528</v>
      </c>
      <c r="AC240" s="9" t="s">
        <v>311</v>
      </c>
      <c r="AD240" s="9">
        <v>3</v>
      </c>
      <c r="AE240" s="9">
        <v>3.5</v>
      </c>
      <c r="AF240" s="9" t="s">
        <v>978</v>
      </c>
      <c r="AG240" s="9"/>
      <c r="AH240" s="9" t="s">
        <v>77</v>
      </c>
      <c r="AI240" s="10">
        <v>99.2537307739257</v>
      </c>
      <c r="AJ240" s="9">
        <v>100</v>
      </c>
      <c r="AK240" s="9" t="s">
        <v>979</v>
      </c>
      <c r="AL240" s="9">
        <v>29</v>
      </c>
      <c r="AM240" s="9">
        <v>1</v>
      </c>
      <c r="AN240" s="9" t="s">
        <v>400</v>
      </c>
      <c r="AO240" s="9" t="s">
        <v>369</v>
      </c>
      <c r="AP240" s="9" t="s">
        <v>980</v>
      </c>
      <c r="AQ240" s="9" t="s">
        <v>486</v>
      </c>
      <c r="AR240" s="9"/>
      <c r="AS240" s="9" t="s">
        <v>68</v>
      </c>
      <c r="AT240" s="9" t="s">
        <v>69</v>
      </c>
      <c r="AU240" s="9" t="s">
        <v>70</v>
      </c>
      <c r="AV240" s="9">
        <v>30</v>
      </c>
    </row>
    <row r="241" spans="1:48">
      <c r="A241" s="9">
        <f t="shared" si="3"/>
        <v>240</v>
      </c>
      <c r="B241" s="9" t="s">
        <v>975</v>
      </c>
      <c r="C241" s="9" t="s">
        <v>981</v>
      </c>
      <c r="D241" s="9">
        <v>1</v>
      </c>
      <c r="E241" s="9">
        <v>1</v>
      </c>
      <c r="F241" s="9" t="s">
        <v>50</v>
      </c>
      <c r="G241" s="9" t="s">
        <v>982</v>
      </c>
      <c r="H241" s="9"/>
      <c r="I241" s="9"/>
      <c r="J241" s="9" t="s">
        <v>53</v>
      </c>
      <c r="K241" s="9" t="s">
        <v>97</v>
      </c>
      <c r="L241" s="9" t="s">
        <v>113</v>
      </c>
      <c r="M241" s="9" t="s">
        <v>56</v>
      </c>
      <c r="N241" s="9" t="s">
        <v>99</v>
      </c>
      <c r="O241" s="9">
        <v>301</v>
      </c>
      <c r="P241" s="9" t="s">
        <v>58</v>
      </c>
      <c r="Q241" s="10">
        <v>3000.00024414062</v>
      </c>
      <c r="R241" s="9">
        <v>30</v>
      </c>
      <c r="S241" s="9"/>
      <c r="T241" s="9">
        <v>90</v>
      </c>
      <c r="U241" s="9">
        <v>21</v>
      </c>
      <c r="V241" s="9">
        <v>1</v>
      </c>
      <c r="W241" s="9">
        <v>1</v>
      </c>
      <c r="X241" s="9">
        <v>481</v>
      </c>
      <c r="Y241" s="9">
        <v>63.890714</v>
      </c>
      <c r="Z241" s="9">
        <v>1.5</v>
      </c>
      <c r="AA241" s="9">
        <v>480</v>
      </c>
      <c r="AB241" s="9">
        <v>480</v>
      </c>
      <c r="AC241" s="9" t="s">
        <v>983</v>
      </c>
      <c r="AD241" s="9">
        <v>3</v>
      </c>
      <c r="AE241" s="9">
        <v>3.9</v>
      </c>
      <c r="AF241" s="9" t="s">
        <v>984</v>
      </c>
      <c r="AG241" s="9"/>
      <c r="AH241" s="9" t="s">
        <v>61</v>
      </c>
      <c r="AI241" s="10">
        <v>100.219299316406</v>
      </c>
      <c r="AJ241" s="9">
        <v>100</v>
      </c>
      <c r="AK241" s="9" t="s">
        <v>985</v>
      </c>
      <c r="AL241" s="9">
        <v>13</v>
      </c>
      <c r="AM241" s="9">
        <v>1</v>
      </c>
      <c r="AN241" s="9" t="s">
        <v>400</v>
      </c>
      <c r="AO241" s="9" t="s">
        <v>369</v>
      </c>
      <c r="AP241" s="9" t="s">
        <v>980</v>
      </c>
      <c r="AQ241" s="9" t="s">
        <v>486</v>
      </c>
      <c r="AR241" s="9"/>
      <c r="AS241" s="9" t="s">
        <v>68</v>
      </c>
      <c r="AT241" s="9" t="s">
        <v>69</v>
      </c>
      <c r="AU241" s="9" t="s">
        <v>70</v>
      </c>
      <c r="AV241" s="9">
        <v>33</v>
      </c>
    </row>
    <row r="242" spans="1:48">
      <c r="A242" s="9">
        <f t="shared" si="3"/>
        <v>241</v>
      </c>
      <c r="B242" s="9" t="s">
        <v>975</v>
      </c>
      <c r="C242" s="9" t="s">
        <v>986</v>
      </c>
      <c r="D242" s="9">
        <v>1</v>
      </c>
      <c r="E242" s="9">
        <v>1</v>
      </c>
      <c r="F242" s="9" t="s">
        <v>72</v>
      </c>
      <c r="G242" s="9" t="s">
        <v>987</v>
      </c>
      <c r="H242" s="9"/>
      <c r="I242" s="9"/>
      <c r="J242" s="9" t="s">
        <v>53</v>
      </c>
      <c r="K242" s="9" t="s">
        <v>97</v>
      </c>
      <c r="L242" s="9" t="s">
        <v>113</v>
      </c>
      <c r="M242" s="9" t="s">
        <v>56</v>
      </c>
      <c r="N242" s="9" t="s">
        <v>99</v>
      </c>
      <c r="O242" s="9">
        <v>401</v>
      </c>
      <c r="P242" s="9" t="s">
        <v>58</v>
      </c>
      <c r="Q242" s="10">
        <v>3875.63696289062</v>
      </c>
      <c r="R242" s="9">
        <v>30</v>
      </c>
      <c r="S242" s="9"/>
      <c r="T242" s="9">
        <v>90</v>
      </c>
      <c r="U242" s="9">
        <v>20</v>
      </c>
      <c r="V242" s="9">
        <v>1</v>
      </c>
      <c r="W242" s="9">
        <v>2</v>
      </c>
      <c r="X242" s="9">
        <v>376</v>
      </c>
      <c r="Y242" s="9">
        <v>63.890721</v>
      </c>
      <c r="Z242" s="9">
        <v>1.5</v>
      </c>
      <c r="AA242" s="9">
        <v>528</v>
      </c>
      <c r="AB242" s="9">
        <v>528</v>
      </c>
      <c r="AC242" s="9" t="s">
        <v>311</v>
      </c>
      <c r="AD242" s="9">
        <v>3</v>
      </c>
      <c r="AE242" s="9">
        <v>3.5</v>
      </c>
      <c r="AF242" s="9" t="s">
        <v>978</v>
      </c>
      <c r="AG242" s="9"/>
      <c r="AH242" s="9" t="s">
        <v>77</v>
      </c>
      <c r="AI242" s="10">
        <v>99.2537307739257</v>
      </c>
      <c r="AJ242" s="9">
        <v>100</v>
      </c>
      <c r="AK242" s="9" t="s">
        <v>979</v>
      </c>
      <c r="AL242" s="9">
        <v>18</v>
      </c>
      <c r="AM242" s="9">
        <v>1</v>
      </c>
      <c r="AN242" s="9" t="s">
        <v>400</v>
      </c>
      <c r="AO242" s="9" t="s">
        <v>369</v>
      </c>
      <c r="AP242" s="9" t="s">
        <v>980</v>
      </c>
      <c r="AQ242" s="9" t="s">
        <v>486</v>
      </c>
      <c r="AR242" s="9"/>
      <c r="AS242" s="9" t="s">
        <v>68</v>
      </c>
      <c r="AT242" s="9" t="s">
        <v>69</v>
      </c>
      <c r="AU242" s="9" t="s">
        <v>70</v>
      </c>
      <c r="AV242" s="9">
        <v>30</v>
      </c>
    </row>
    <row r="243" spans="1:48">
      <c r="A243" s="9">
        <f t="shared" si="3"/>
        <v>242</v>
      </c>
      <c r="B243" s="9" t="s">
        <v>975</v>
      </c>
      <c r="C243" s="9" t="s">
        <v>988</v>
      </c>
      <c r="D243" s="9">
        <v>0</v>
      </c>
      <c r="E243" s="9">
        <v>0</v>
      </c>
      <c r="F243" s="9" t="s">
        <v>50</v>
      </c>
      <c r="G243" s="9" t="s">
        <v>417</v>
      </c>
      <c r="H243" s="9"/>
      <c r="I243" s="9"/>
      <c r="J243" s="9" t="s">
        <v>53</v>
      </c>
      <c r="K243" s="9" t="s">
        <v>97</v>
      </c>
      <c r="L243" s="9" t="s">
        <v>98</v>
      </c>
      <c r="M243" s="9" t="s">
        <v>56</v>
      </c>
      <c r="N243" s="9" t="s">
        <v>99</v>
      </c>
      <c r="O243" s="9">
        <v>201</v>
      </c>
      <c r="P243" s="9" t="s">
        <v>58</v>
      </c>
      <c r="Q243" s="10">
        <v>612.647705078125</v>
      </c>
      <c r="R243" s="9">
        <v>17</v>
      </c>
      <c r="S243" s="9"/>
      <c r="T243" s="9">
        <v>90</v>
      </c>
      <c r="U243" s="9">
        <v>3</v>
      </c>
      <c r="V243" s="9">
        <v>1</v>
      </c>
      <c r="W243" s="9">
        <v>1</v>
      </c>
      <c r="X243" s="9">
        <v>209</v>
      </c>
      <c r="Y243" s="9">
        <v>63.890756</v>
      </c>
      <c r="Z243" s="9">
        <v>1.5</v>
      </c>
      <c r="AA243" s="9">
        <v>512</v>
      </c>
      <c r="AB243" s="9">
        <v>512</v>
      </c>
      <c r="AC243" s="9" t="s">
        <v>311</v>
      </c>
      <c r="AD243" s="9">
        <v>3</v>
      </c>
      <c r="AE243" s="9">
        <v>3.5</v>
      </c>
      <c r="AF243" s="9" t="s">
        <v>989</v>
      </c>
      <c r="AG243" s="9"/>
      <c r="AH243" s="9" t="s">
        <v>77</v>
      </c>
      <c r="AI243" s="10">
        <v>99.2307662963867</v>
      </c>
      <c r="AJ243" s="9">
        <v>100</v>
      </c>
      <c r="AK243" s="9" t="s">
        <v>985</v>
      </c>
      <c r="AL243" s="9">
        <v>13</v>
      </c>
      <c r="AM243" s="9">
        <v>1</v>
      </c>
      <c r="AN243" s="9" t="s">
        <v>400</v>
      </c>
      <c r="AO243" s="9" t="s">
        <v>369</v>
      </c>
      <c r="AP243" s="9" t="s">
        <v>980</v>
      </c>
      <c r="AQ243" s="9" t="s">
        <v>486</v>
      </c>
      <c r="AR243" s="9"/>
      <c r="AS243" s="9" t="s">
        <v>68</v>
      </c>
      <c r="AT243" s="9" t="s">
        <v>69</v>
      </c>
      <c r="AU243" s="9" t="s">
        <v>70</v>
      </c>
      <c r="AV243" s="9">
        <v>33</v>
      </c>
    </row>
    <row r="244" spans="1:48">
      <c r="A244" s="9">
        <f t="shared" si="3"/>
        <v>243</v>
      </c>
      <c r="B244" s="9" t="s">
        <v>975</v>
      </c>
      <c r="C244" s="9" t="s">
        <v>990</v>
      </c>
      <c r="D244" s="9">
        <v>1</v>
      </c>
      <c r="E244" s="9">
        <v>1</v>
      </c>
      <c r="F244" s="9" t="s">
        <v>50</v>
      </c>
      <c r="G244" s="9" t="s">
        <v>982</v>
      </c>
      <c r="H244" s="9"/>
      <c r="I244" s="9"/>
      <c r="J244" s="9" t="s">
        <v>53</v>
      </c>
      <c r="K244" s="9" t="s">
        <v>97</v>
      </c>
      <c r="L244" s="9" t="s">
        <v>113</v>
      </c>
      <c r="M244" s="9" t="s">
        <v>56</v>
      </c>
      <c r="N244" s="9" t="s">
        <v>99</v>
      </c>
      <c r="O244" s="9">
        <v>501</v>
      </c>
      <c r="P244" s="9" t="s">
        <v>58</v>
      </c>
      <c r="Q244" s="10">
        <v>3000.00024414062</v>
      </c>
      <c r="R244" s="9">
        <v>30</v>
      </c>
      <c r="S244" s="9"/>
      <c r="T244" s="9">
        <v>90</v>
      </c>
      <c r="U244" s="9">
        <v>21</v>
      </c>
      <c r="V244" s="9">
        <v>1</v>
      </c>
      <c r="W244" s="9">
        <v>1</v>
      </c>
      <c r="X244" s="9">
        <v>481</v>
      </c>
      <c r="Y244" s="9">
        <v>63.890717</v>
      </c>
      <c r="Z244" s="9">
        <v>1.5</v>
      </c>
      <c r="AA244" s="9">
        <v>480</v>
      </c>
      <c r="AB244" s="9">
        <v>480</v>
      </c>
      <c r="AC244" s="9" t="s">
        <v>983</v>
      </c>
      <c r="AD244" s="9">
        <v>3</v>
      </c>
      <c r="AE244" s="9">
        <v>3.9</v>
      </c>
      <c r="AF244" s="9" t="s">
        <v>984</v>
      </c>
      <c r="AG244" s="9"/>
      <c r="AH244" s="9" t="s">
        <v>61</v>
      </c>
      <c r="AI244" s="10">
        <v>100.219299316406</v>
      </c>
      <c r="AJ244" s="9">
        <v>100</v>
      </c>
      <c r="AK244" s="9" t="s">
        <v>985</v>
      </c>
      <c r="AL244" s="9">
        <v>7</v>
      </c>
      <c r="AM244" s="9">
        <v>1</v>
      </c>
      <c r="AN244" s="9" t="s">
        <v>400</v>
      </c>
      <c r="AO244" s="9" t="s">
        <v>369</v>
      </c>
      <c r="AP244" s="9" t="s">
        <v>980</v>
      </c>
      <c r="AQ244" s="9" t="s">
        <v>486</v>
      </c>
      <c r="AR244" s="9"/>
      <c r="AS244" s="9" t="s">
        <v>68</v>
      </c>
      <c r="AT244" s="9" t="s">
        <v>69</v>
      </c>
      <c r="AU244" s="9" t="s">
        <v>70</v>
      </c>
      <c r="AV244" s="9">
        <v>33</v>
      </c>
    </row>
    <row r="245" spans="1:48">
      <c r="A245" s="9">
        <f t="shared" si="3"/>
        <v>244</v>
      </c>
      <c r="B245" s="9" t="s">
        <v>975</v>
      </c>
      <c r="C245" s="9" t="s">
        <v>991</v>
      </c>
      <c r="D245" s="9">
        <v>1</v>
      </c>
      <c r="E245" s="9">
        <v>1</v>
      </c>
      <c r="F245" s="9" t="s">
        <v>91</v>
      </c>
      <c r="G245" s="9" t="s">
        <v>987</v>
      </c>
      <c r="H245" s="9"/>
      <c r="I245" s="9"/>
      <c r="J245" s="9" t="s">
        <v>53</v>
      </c>
      <c r="K245" s="9" t="s">
        <v>97</v>
      </c>
      <c r="L245" s="9" t="s">
        <v>113</v>
      </c>
      <c r="M245" s="9" t="s">
        <v>56</v>
      </c>
      <c r="N245" s="9" t="s">
        <v>99</v>
      </c>
      <c r="O245" s="9">
        <v>701</v>
      </c>
      <c r="P245" s="9" t="s">
        <v>58</v>
      </c>
      <c r="Q245" s="10">
        <v>4063.47290039062</v>
      </c>
      <c r="R245" s="9">
        <v>30</v>
      </c>
      <c r="S245" s="9"/>
      <c r="T245" s="9">
        <v>90</v>
      </c>
      <c r="U245" s="9">
        <v>16</v>
      </c>
      <c r="V245" s="9">
        <v>1</v>
      </c>
      <c r="W245" s="9">
        <v>1</v>
      </c>
      <c r="X245" s="9">
        <v>220</v>
      </c>
      <c r="Y245" s="9">
        <v>63.89072</v>
      </c>
      <c r="Z245" s="9">
        <v>1.5</v>
      </c>
      <c r="AA245" s="9">
        <v>512</v>
      </c>
      <c r="AB245" s="9">
        <v>512</v>
      </c>
      <c r="AC245" s="9" t="s">
        <v>311</v>
      </c>
      <c r="AD245" s="9">
        <v>3</v>
      </c>
      <c r="AE245" s="9">
        <v>3.6</v>
      </c>
      <c r="AF245" s="9" t="s">
        <v>992</v>
      </c>
      <c r="AG245" s="9"/>
      <c r="AH245" s="9" t="s">
        <v>77</v>
      </c>
      <c r="AI245" s="10">
        <v>100.438598632812</v>
      </c>
      <c r="AJ245" s="9">
        <v>100</v>
      </c>
      <c r="AK245" s="9" t="s">
        <v>993</v>
      </c>
      <c r="AL245" s="9">
        <v>11</v>
      </c>
      <c r="AM245" s="9">
        <v>1</v>
      </c>
      <c r="AN245" s="9" t="s">
        <v>400</v>
      </c>
      <c r="AO245" s="9" t="s">
        <v>369</v>
      </c>
      <c r="AP245" s="9" t="s">
        <v>980</v>
      </c>
      <c r="AQ245" s="9" t="s">
        <v>486</v>
      </c>
      <c r="AR245" s="9"/>
      <c r="AS245" s="9" t="s">
        <v>68</v>
      </c>
      <c r="AT245" s="9" t="s">
        <v>69</v>
      </c>
      <c r="AU245" s="9" t="s">
        <v>70</v>
      </c>
      <c r="AV245" s="9">
        <v>30</v>
      </c>
    </row>
    <row r="246" spans="1:48">
      <c r="A246" s="9">
        <f t="shared" si="3"/>
        <v>245</v>
      </c>
      <c r="B246" s="9" t="s">
        <v>994</v>
      </c>
      <c r="C246" s="9" t="s">
        <v>995</v>
      </c>
      <c r="D246" s="9">
        <v>0</v>
      </c>
      <c r="E246" s="9">
        <v>0</v>
      </c>
      <c r="F246" s="9" t="s">
        <v>50</v>
      </c>
      <c r="G246" s="9" t="s">
        <v>333</v>
      </c>
      <c r="H246" s="9"/>
      <c r="I246" s="9"/>
      <c r="J246" s="9" t="s">
        <v>53</v>
      </c>
      <c r="K246" s="9" t="s">
        <v>97</v>
      </c>
      <c r="L246" s="9" t="s">
        <v>996</v>
      </c>
      <c r="M246" s="9" t="s">
        <v>56</v>
      </c>
      <c r="N246" s="9" t="s">
        <v>145</v>
      </c>
      <c r="O246" s="9">
        <v>3</v>
      </c>
      <c r="P246" s="9" t="s">
        <v>58</v>
      </c>
      <c r="Q246" s="9">
        <v>1662</v>
      </c>
      <c r="R246" s="9">
        <v>9.568</v>
      </c>
      <c r="S246" s="9"/>
      <c r="T246" s="9">
        <v>160</v>
      </c>
      <c r="U246" s="9">
        <v>7</v>
      </c>
      <c r="V246" s="9">
        <v>1</v>
      </c>
      <c r="W246" s="9">
        <v>2</v>
      </c>
      <c r="X246" s="9">
        <v>81.3867</v>
      </c>
      <c r="Y246" s="9">
        <v>63.899567</v>
      </c>
      <c r="Z246" s="9">
        <v>1.5</v>
      </c>
      <c r="AA246" s="9">
        <v>1024</v>
      </c>
      <c r="AB246" s="9">
        <v>1024</v>
      </c>
      <c r="AC246" s="9" t="s">
        <v>997</v>
      </c>
      <c r="AD246" s="9">
        <v>3</v>
      </c>
      <c r="AE246" s="9">
        <v>3.3</v>
      </c>
      <c r="AF246" s="9" t="s">
        <v>998</v>
      </c>
      <c r="AG246" s="9"/>
      <c r="AH246" s="9" t="s">
        <v>77</v>
      </c>
      <c r="AI246" s="9">
        <v>100</v>
      </c>
      <c r="AJ246" s="9">
        <v>100</v>
      </c>
      <c r="AK246" s="9" t="s">
        <v>999</v>
      </c>
      <c r="AL246" s="9">
        <v>20</v>
      </c>
      <c r="AM246" s="9"/>
      <c r="AN246" s="9" t="s">
        <v>149</v>
      </c>
      <c r="AO246" s="9" t="s">
        <v>554</v>
      </c>
      <c r="AP246" s="9" t="s">
        <v>1000</v>
      </c>
      <c r="AQ246" s="9" t="s">
        <v>556</v>
      </c>
      <c r="AR246" s="9" t="s">
        <v>556</v>
      </c>
      <c r="AS246" s="9" t="s">
        <v>68</v>
      </c>
      <c r="AT246" s="9" t="s">
        <v>69</v>
      </c>
      <c r="AU246" s="9"/>
      <c r="AV246" s="9">
        <v>36</v>
      </c>
    </row>
    <row r="247" spans="1:48">
      <c r="A247" s="9">
        <f t="shared" si="3"/>
        <v>246</v>
      </c>
      <c r="B247" s="9" t="s">
        <v>994</v>
      </c>
      <c r="C247" s="9" t="s">
        <v>1001</v>
      </c>
      <c r="D247" s="9">
        <v>1</v>
      </c>
      <c r="E247" s="9">
        <v>1</v>
      </c>
      <c r="F247" s="9" t="s">
        <v>91</v>
      </c>
      <c r="G247" s="9" t="s">
        <v>1002</v>
      </c>
      <c r="H247" s="9"/>
      <c r="I247" s="9"/>
      <c r="J247" s="9" t="s">
        <v>53</v>
      </c>
      <c r="K247" s="9" t="s">
        <v>97</v>
      </c>
      <c r="L247" s="9" t="s">
        <v>1003</v>
      </c>
      <c r="M247" s="9" t="s">
        <v>56</v>
      </c>
      <c r="N247" s="9" t="s">
        <v>145</v>
      </c>
      <c r="O247" s="9">
        <v>2</v>
      </c>
      <c r="P247" s="9" t="s">
        <v>58</v>
      </c>
      <c r="Q247" s="9">
        <v>1852</v>
      </c>
      <c r="R247" s="9">
        <v>31.68</v>
      </c>
      <c r="S247" s="9"/>
      <c r="T247" s="9">
        <v>160</v>
      </c>
      <c r="U247" s="9">
        <v>7</v>
      </c>
      <c r="V247" s="9">
        <v>1</v>
      </c>
      <c r="W247" s="9">
        <v>2</v>
      </c>
      <c r="X247" s="9">
        <v>139.492</v>
      </c>
      <c r="Y247" s="9">
        <v>63.89956</v>
      </c>
      <c r="Z247" s="9">
        <v>1.5</v>
      </c>
      <c r="AA247" s="9">
        <v>512</v>
      </c>
      <c r="AB247" s="9">
        <v>512</v>
      </c>
      <c r="AC247" s="9" t="s">
        <v>311</v>
      </c>
      <c r="AD247" s="9">
        <v>3.5</v>
      </c>
      <c r="AE247" s="9">
        <v>4</v>
      </c>
      <c r="AF247" s="9" t="s">
        <v>88</v>
      </c>
      <c r="AG247" s="9"/>
      <c r="AH247" s="9" t="s">
        <v>61</v>
      </c>
      <c r="AI247" s="9">
        <v>100</v>
      </c>
      <c r="AJ247" s="9">
        <v>100</v>
      </c>
      <c r="AK247" s="9" t="s">
        <v>1004</v>
      </c>
      <c r="AL247" s="9">
        <v>22</v>
      </c>
      <c r="AM247" s="9"/>
      <c r="AN247" s="9" t="s">
        <v>149</v>
      </c>
      <c r="AO247" s="9" t="s">
        <v>554</v>
      </c>
      <c r="AP247" s="9" t="s">
        <v>1000</v>
      </c>
      <c r="AQ247" s="9" t="s">
        <v>556</v>
      </c>
      <c r="AR247" s="9" t="s">
        <v>556</v>
      </c>
      <c r="AS247" s="9" t="s">
        <v>68</v>
      </c>
      <c r="AT247" s="9" t="s">
        <v>69</v>
      </c>
      <c r="AU247" s="9"/>
      <c r="AV247" s="9">
        <v>38</v>
      </c>
    </row>
    <row r="248" spans="1:48">
      <c r="A248" s="9">
        <f t="shared" si="3"/>
        <v>247</v>
      </c>
      <c r="B248" s="9" t="s">
        <v>994</v>
      </c>
      <c r="C248" s="9" t="s">
        <v>1005</v>
      </c>
      <c r="D248" s="9">
        <v>1</v>
      </c>
      <c r="E248" s="9">
        <v>1</v>
      </c>
      <c r="F248" s="9" t="s">
        <v>72</v>
      </c>
      <c r="G248" s="9" t="s">
        <v>1006</v>
      </c>
      <c r="H248" s="9"/>
      <c r="I248" s="9"/>
      <c r="J248" s="9" t="s">
        <v>53</v>
      </c>
      <c r="K248" s="9" t="s">
        <v>97</v>
      </c>
      <c r="L248" s="9" t="s">
        <v>1007</v>
      </c>
      <c r="M248" s="9" t="s">
        <v>56</v>
      </c>
      <c r="N248" s="9" t="s">
        <v>145</v>
      </c>
      <c r="O248" s="9">
        <v>5</v>
      </c>
      <c r="P248" s="9" t="s">
        <v>58</v>
      </c>
      <c r="Q248" s="9">
        <v>1693</v>
      </c>
      <c r="R248" s="9">
        <v>40.2</v>
      </c>
      <c r="S248" s="9"/>
      <c r="T248" s="9">
        <v>160</v>
      </c>
      <c r="U248" s="9">
        <v>11</v>
      </c>
      <c r="V248" s="9">
        <v>1</v>
      </c>
      <c r="W248" s="9">
        <v>2</v>
      </c>
      <c r="X248" s="9">
        <v>162.773</v>
      </c>
      <c r="Y248" s="9">
        <v>63.89957</v>
      </c>
      <c r="Z248" s="9">
        <v>1.5</v>
      </c>
      <c r="AA248" s="9">
        <v>512</v>
      </c>
      <c r="AB248" s="9">
        <v>512</v>
      </c>
      <c r="AC248" s="9" t="s">
        <v>507</v>
      </c>
      <c r="AD248" s="9">
        <v>3</v>
      </c>
      <c r="AE248" s="9">
        <v>3.3</v>
      </c>
      <c r="AF248" s="9" t="s">
        <v>156</v>
      </c>
      <c r="AG248" s="9"/>
      <c r="AH248" s="9" t="s">
        <v>77</v>
      </c>
      <c r="AI248" s="9">
        <v>100</v>
      </c>
      <c r="AJ248" s="9">
        <v>100</v>
      </c>
      <c r="AK248" s="9" t="s">
        <v>1008</v>
      </c>
      <c r="AL248" s="9">
        <v>26</v>
      </c>
      <c r="AM248" s="9"/>
      <c r="AN248" s="9" t="s">
        <v>149</v>
      </c>
      <c r="AO248" s="9" t="s">
        <v>554</v>
      </c>
      <c r="AP248" s="9" t="s">
        <v>1000</v>
      </c>
      <c r="AQ248" s="9" t="s">
        <v>556</v>
      </c>
      <c r="AR248" s="9" t="s">
        <v>556</v>
      </c>
      <c r="AS248" s="9" t="s">
        <v>68</v>
      </c>
      <c r="AT248" s="9" t="s">
        <v>69</v>
      </c>
      <c r="AU248" s="9"/>
      <c r="AV248" s="9">
        <v>39</v>
      </c>
    </row>
    <row r="249" spans="1:48">
      <c r="A249" s="9">
        <f t="shared" si="3"/>
        <v>248</v>
      </c>
      <c r="B249" s="9" t="s">
        <v>994</v>
      </c>
      <c r="C249" s="9" t="s">
        <v>1009</v>
      </c>
      <c r="D249" s="9">
        <v>1</v>
      </c>
      <c r="E249" s="9">
        <v>1</v>
      </c>
      <c r="F249" s="9" t="s">
        <v>50</v>
      </c>
      <c r="G249" s="9" t="s">
        <v>328</v>
      </c>
      <c r="H249" s="9"/>
      <c r="I249" s="9"/>
      <c r="J249" s="9" t="s">
        <v>53</v>
      </c>
      <c r="K249" s="9" t="s">
        <v>143</v>
      </c>
      <c r="L249" s="9" t="s">
        <v>1010</v>
      </c>
      <c r="M249" s="9" t="s">
        <v>56</v>
      </c>
      <c r="N249" s="9" t="s">
        <v>145</v>
      </c>
      <c r="O249" s="9">
        <v>4</v>
      </c>
      <c r="P249" s="9" t="s">
        <v>58</v>
      </c>
      <c r="Q249" s="9">
        <v>3468</v>
      </c>
      <c r="R249" s="9">
        <v>63.144</v>
      </c>
      <c r="S249" s="9"/>
      <c r="T249" s="9">
        <v>160</v>
      </c>
      <c r="U249" s="9">
        <v>18</v>
      </c>
      <c r="V249" s="9">
        <v>1</v>
      </c>
      <c r="W249" s="9">
        <v>2</v>
      </c>
      <c r="X249" s="9">
        <v>162.773</v>
      </c>
      <c r="Y249" s="9">
        <v>63.899567</v>
      </c>
      <c r="Z249" s="9">
        <v>1.5</v>
      </c>
      <c r="AA249" s="9">
        <v>512</v>
      </c>
      <c r="AB249" s="9">
        <v>512</v>
      </c>
      <c r="AC249" s="9" t="s">
        <v>308</v>
      </c>
      <c r="AD249" s="9">
        <v>3</v>
      </c>
      <c r="AE249" s="9">
        <v>3.3</v>
      </c>
      <c r="AF249" s="9" t="s">
        <v>156</v>
      </c>
      <c r="AG249" s="9"/>
      <c r="AH249" s="9" t="s">
        <v>77</v>
      </c>
      <c r="AI249" s="9">
        <v>100</v>
      </c>
      <c r="AJ249" s="9">
        <v>100</v>
      </c>
      <c r="AK249" s="9" t="s">
        <v>1011</v>
      </c>
      <c r="AL249" s="9">
        <v>40</v>
      </c>
      <c r="AM249" s="9"/>
      <c r="AN249" s="9" t="s">
        <v>149</v>
      </c>
      <c r="AO249" s="9" t="s">
        <v>554</v>
      </c>
      <c r="AP249" s="9" t="s">
        <v>1000</v>
      </c>
      <c r="AQ249" s="9" t="s">
        <v>556</v>
      </c>
      <c r="AR249" s="9" t="s">
        <v>556</v>
      </c>
      <c r="AS249" s="9" t="s">
        <v>68</v>
      </c>
      <c r="AT249" s="9" t="s">
        <v>69</v>
      </c>
      <c r="AU249" s="9"/>
      <c r="AV249" s="9">
        <v>40</v>
      </c>
    </row>
    <row r="250" spans="1:48">
      <c r="A250" s="9">
        <f t="shared" si="3"/>
        <v>249</v>
      </c>
      <c r="B250" s="9" t="s">
        <v>1012</v>
      </c>
      <c r="C250" s="9" t="s">
        <v>1013</v>
      </c>
      <c r="D250" s="9">
        <v>1</v>
      </c>
      <c r="E250" s="9">
        <v>1</v>
      </c>
      <c r="F250" s="9" t="s">
        <v>50</v>
      </c>
      <c r="G250" s="9" t="s">
        <v>1014</v>
      </c>
      <c r="H250" s="9"/>
      <c r="I250" s="9"/>
      <c r="J250" s="9" t="s">
        <v>53</v>
      </c>
      <c r="K250" s="9" t="s">
        <v>97</v>
      </c>
      <c r="L250" s="9" t="s">
        <v>113</v>
      </c>
      <c r="M250" s="9" t="s">
        <v>56</v>
      </c>
      <c r="N250" s="9" t="s">
        <v>99</v>
      </c>
      <c r="O250" s="9">
        <v>701</v>
      </c>
      <c r="P250" s="9" t="s">
        <v>58</v>
      </c>
      <c r="Q250" s="10">
        <v>3527.98193359375</v>
      </c>
      <c r="R250" s="9">
        <v>20</v>
      </c>
      <c r="S250" s="9"/>
      <c r="T250" s="9">
        <v>90</v>
      </c>
      <c r="U250" s="9">
        <v>12</v>
      </c>
      <c r="V250" s="9">
        <v>1</v>
      </c>
      <c r="W250" s="9">
        <v>1</v>
      </c>
      <c r="X250" s="9">
        <v>263</v>
      </c>
      <c r="Y250" s="9">
        <v>63.901208</v>
      </c>
      <c r="Z250" s="9">
        <v>1.5</v>
      </c>
      <c r="AA250" s="9">
        <v>480</v>
      </c>
      <c r="AB250" s="9">
        <v>480</v>
      </c>
      <c r="AC250" s="9" t="s">
        <v>1015</v>
      </c>
      <c r="AD250" s="9">
        <v>3</v>
      </c>
      <c r="AE250" s="9">
        <v>3.3</v>
      </c>
      <c r="AF250" s="9" t="s">
        <v>1016</v>
      </c>
      <c r="AG250" s="9"/>
      <c r="AH250" s="9" t="s">
        <v>61</v>
      </c>
      <c r="AI250" s="9">
        <v>100</v>
      </c>
      <c r="AJ250" s="9">
        <v>100</v>
      </c>
      <c r="AK250" s="9" t="s">
        <v>1017</v>
      </c>
      <c r="AL250" s="9">
        <v>9</v>
      </c>
      <c r="AM250" s="9"/>
      <c r="AN250" s="9" t="s">
        <v>103</v>
      </c>
      <c r="AO250" s="9" t="s">
        <v>1018</v>
      </c>
      <c r="AP250" s="9" t="s">
        <v>1019</v>
      </c>
      <c r="AQ250" s="9" t="s">
        <v>106</v>
      </c>
      <c r="AR250" s="9"/>
      <c r="AS250" s="9" t="s">
        <v>68</v>
      </c>
      <c r="AT250" s="9" t="s">
        <v>69</v>
      </c>
      <c r="AU250" s="9"/>
      <c r="AV250" s="9">
        <v>30</v>
      </c>
    </row>
    <row r="251" spans="1:48">
      <c r="A251" s="9">
        <f t="shared" si="3"/>
        <v>250</v>
      </c>
      <c r="B251" s="9" t="s">
        <v>1012</v>
      </c>
      <c r="C251" s="9" t="s">
        <v>1020</v>
      </c>
      <c r="D251" s="9">
        <v>0</v>
      </c>
      <c r="E251" s="9">
        <v>0</v>
      </c>
      <c r="F251" s="9" t="s">
        <v>72</v>
      </c>
      <c r="G251" s="9" t="s">
        <v>1021</v>
      </c>
      <c r="H251" s="9"/>
      <c r="I251" s="9"/>
      <c r="J251" s="9" t="s">
        <v>53</v>
      </c>
      <c r="K251" s="9" t="s">
        <v>97</v>
      </c>
      <c r="L251" s="9" t="s">
        <v>98</v>
      </c>
      <c r="M251" s="9" t="s">
        <v>56</v>
      </c>
      <c r="N251" s="9" t="s">
        <v>99</v>
      </c>
      <c r="O251" s="9">
        <v>1001</v>
      </c>
      <c r="P251" s="9" t="s">
        <v>58</v>
      </c>
      <c r="Q251" s="10">
        <v>3000.00048828125</v>
      </c>
      <c r="R251" s="9">
        <v>60</v>
      </c>
      <c r="S251" s="9"/>
      <c r="T251" s="9">
        <v>90</v>
      </c>
      <c r="U251" s="9">
        <v>15</v>
      </c>
      <c r="V251" s="9">
        <v>1</v>
      </c>
      <c r="W251" s="9">
        <v>2</v>
      </c>
      <c r="X251" s="9">
        <v>292</v>
      </c>
      <c r="Y251" s="9">
        <v>63.901208</v>
      </c>
      <c r="Z251" s="9">
        <v>1.5</v>
      </c>
      <c r="AA251" s="9">
        <v>560</v>
      </c>
      <c r="AB251" s="9">
        <v>560</v>
      </c>
      <c r="AC251" s="9" t="s">
        <v>892</v>
      </c>
      <c r="AD251" s="9">
        <v>3</v>
      </c>
      <c r="AE251" s="9">
        <v>3.5</v>
      </c>
      <c r="AF251" s="9" t="s">
        <v>1022</v>
      </c>
      <c r="AG251" s="9"/>
      <c r="AH251" s="9" t="s">
        <v>77</v>
      </c>
      <c r="AI251" s="10">
        <v>90.8685989379882</v>
      </c>
      <c r="AJ251" s="9">
        <v>100</v>
      </c>
      <c r="AK251" s="9" t="s">
        <v>1023</v>
      </c>
      <c r="AL251" s="9">
        <v>28</v>
      </c>
      <c r="AM251" s="9"/>
      <c r="AN251" s="9" t="s">
        <v>103</v>
      </c>
      <c r="AO251" s="9" t="s">
        <v>1018</v>
      </c>
      <c r="AP251" s="9" t="s">
        <v>1019</v>
      </c>
      <c r="AQ251" s="9" t="s">
        <v>106</v>
      </c>
      <c r="AR251" s="9"/>
      <c r="AS251" s="9" t="s">
        <v>68</v>
      </c>
      <c r="AT251" s="9" t="s">
        <v>69</v>
      </c>
      <c r="AU251" s="9"/>
      <c r="AV251" s="9">
        <v>35</v>
      </c>
    </row>
    <row r="252" spans="1:48">
      <c r="A252" s="9">
        <f t="shared" si="3"/>
        <v>251</v>
      </c>
      <c r="B252" s="9" t="s">
        <v>1012</v>
      </c>
      <c r="C252" s="9" t="s">
        <v>1024</v>
      </c>
      <c r="D252" s="9">
        <v>0</v>
      </c>
      <c r="E252" s="9">
        <v>0</v>
      </c>
      <c r="F252" s="9" t="s">
        <v>72</v>
      </c>
      <c r="G252" s="9" t="s">
        <v>1025</v>
      </c>
      <c r="H252" s="9"/>
      <c r="I252" s="9"/>
      <c r="J252" s="9" t="s">
        <v>53</v>
      </c>
      <c r="K252" s="9" t="s">
        <v>97</v>
      </c>
      <c r="L252" s="9" t="s">
        <v>98</v>
      </c>
      <c r="M252" s="9" t="s">
        <v>56</v>
      </c>
      <c r="N252" s="9" t="s">
        <v>99</v>
      </c>
      <c r="O252" s="9">
        <v>901</v>
      </c>
      <c r="P252" s="9" t="s">
        <v>58</v>
      </c>
      <c r="Q252" s="10">
        <v>698.081420898437</v>
      </c>
      <c r="R252" s="9">
        <v>7.45</v>
      </c>
      <c r="S252" s="9"/>
      <c r="T252" s="9">
        <v>90</v>
      </c>
      <c r="U252" s="9">
        <v>4</v>
      </c>
      <c r="V252" s="9">
        <v>1</v>
      </c>
      <c r="W252" s="9">
        <v>2</v>
      </c>
      <c r="X252" s="9">
        <v>307</v>
      </c>
      <c r="Y252" s="9">
        <v>63.901232</v>
      </c>
      <c r="Z252" s="9">
        <v>1.5</v>
      </c>
      <c r="AA252" s="9">
        <v>512</v>
      </c>
      <c r="AB252" s="9">
        <v>512</v>
      </c>
      <c r="AC252" s="9" t="s">
        <v>1026</v>
      </c>
      <c r="AD252" s="9">
        <v>3</v>
      </c>
      <c r="AE252" s="9">
        <v>3.5</v>
      </c>
      <c r="AF252" s="9" t="s">
        <v>1027</v>
      </c>
      <c r="AG252" s="9"/>
      <c r="AH252" s="9" t="s">
        <v>77</v>
      </c>
      <c r="AI252" s="10">
        <v>83.5073089599609</v>
      </c>
      <c r="AJ252" s="9">
        <v>100</v>
      </c>
      <c r="AK252" s="9" t="s">
        <v>1023</v>
      </c>
      <c r="AL252" s="9">
        <v>3</v>
      </c>
      <c r="AM252" s="9"/>
      <c r="AN252" s="9" t="s">
        <v>103</v>
      </c>
      <c r="AO252" s="9" t="s">
        <v>1018</v>
      </c>
      <c r="AP252" s="9" t="s">
        <v>1019</v>
      </c>
      <c r="AQ252" s="9" t="s">
        <v>106</v>
      </c>
      <c r="AR252" s="9"/>
      <c r="AS252" s="9" t="s">
        <v>68</v>
      </c>
      <c r="AT252" s="9" t="s">
        <v>69</v>
      </c>
      <c r="AU252" s="9"/>
      <c r="AV252" s="9">
        <v>35</v>
      </c>
    </row>
    <row r="253" spans="1:48">
      <c r="A253" s="9">
        <f t="shared" si="3"/>
        <v>252</v>
      </c>
      <c r="B253" s="9" t="s">
        <v>1012</v>
      </c>
      <c r="C253" s="9" t="s">
        <v>1028</v>
      </c>
      <c r="D253" s="9">
        <v>1</v>
      </c>
      <c r="E253" s="9">
        <v>1</v>
      </c>
      <c r="F253" s="9" t="s">
        <v>72</v>
      </c>
      <c r="G253" s="9" t="s">
        <v>1029</v>
      </c>
      <c r="H253" s="9"/>
      <c r="I253" s="9"/>
      <c r="J253" s="9" t="s">
        <v>53</v>
      </c>
      <c r="K253" s="9" t="s">
        <v>97</v>
      </c>
      <c r="L253" s="9" t="s">
        <v>113</v>
      </c>
      <c r="M253" s="9" t="s">
        <v>56</v>
      </c>
      <c r="N253" s="9" t="s">
        <v>99</v>
      </c>
      <c r="O253" s="9">
        <v>801</v>
      </c>
      <c r="P253" s="9" t="s">
        <v>58</v>
      </c>
      <c r="Q253" s="10">
        <v>4091.21997070312</v>
      </c>
      <c r="R253" s="9">
        <v>30</v>
      </c>
      <c r="S253" s="9"/>
      <c r="T253" s="9">
        <v>90</v>
      </c>
      <c r="U253" s="9">
        <v>12</v>
      </c>
      <c r="V253" s="9">
        <v>1</v>
      </c>
      <c r="W253" s="9">
        <v>2</v>
      </c>
      <c r="X253" s="9">
        <v>240</v>
      </c>
      <c r="Y253" s="9">
        <v>63.901204</v>
      </c>
      <c r="Z253" s="9">
        <v>1.5</v>
      </c>
      <c r="AA253" s="9">
        <v>512</v>
      </c>
      <c r="AB253" s="9">
        <v>512</v>
      </c>
      <c r="AC253" s="9" t="s">
        <v>1026</v>
      </c>
      <c r="AD253" s="9">
        <v>3</v>
      </c>
      <c r="AE253" s="9">
        <v>3.5</v>
      </c>
      <c r="AF253" s="9" t="s">
        <v>1030</v>
      </c>
      <c r="AG253" s="9"/>
      <c r="AH253" s="9" t="s">
        <v>77</v>
      </c>
      <c r="AI253" s="9">
        <v>100</v>
      </c>
      <c r="AJ253" s="9">
        <v>100</v>
      </c>
      <c r="AK253" s="9" t="s">
        <v>1023</v>
      </c>
      <c r="AL253" s="9">
        <v>15</v>
      </c>
      <c r="AM253" s="9"/>
      <c r="AN253" s="9" t="s">
        <v>103</v>
      </c>
      <c r="AO253" s="9" t="s">
        <v>1018</v>
      </c>
      <c r="AP253" s="9" t="s">
        <v>1019</v>
      </c>
      <c r="AQ253" s="9" t="s">
        <v>106</v>
      </c>
      <c r="AR253" s="9"/>
      <c r="AS253" s="9" t="s">
        <v>68</v>
      </c>
      <c r="AT253" s="9" t="s">
        <v>69</v>
      </c>
      <c r="AU253" s="9"/>
      <c r="AV253" s="9">
        <v>35</v>
      </c>
    </row>
    <row r="254" spans="1:48">
      <c r="A254" s="9">
        <f t="shared" si="3"/>
        <v>253</v>
      </c>
      <c r="B254" s="9" t="s">
        <v>1012</v>
      </c>
      <c r="C254" s="9" t="s">
        <v>1031</v>
      </c>
      <c r="D254" s="9">
        <v>0</v>
      </c>
      <c r="E254" s="9">
        <v>0</v>
      </c>
      <c r="F254" s="9" t="s">
        <v>50</v>
      </c>
      <c r="G254" s="9" t="s">
        <v>1032</v>
      </c>
      <c r="H254" s="9"/>
      <c r="I254" s="9"/>
      <c r="J254" s="9" t="s">
        <v>53</v>
      </c>
      <c r="K254" s="9" t="s">
        <v>97</v>
      </c>
      <c r="L254" s="9" t="s">
        <v>98</v>
      </c>
      <c r="M254" s="9" t="s">
        <v>56</v>
      </c>
      <c r="N254" s="9" t="s">
        <v>99</v>
      </c>
      <c r="O254" s="9">
        <v>501</v>
      </c>
      <c r="P254" s="9" t="s">
        <v>58</v>
      </c>
      <c r="Q254" s="10">
        <v>545.56201171875</v>
      </c>
      <c r="R254" s="9">
        <v>6.985</v>
      </c>
      <c r="S254" s="9"/>
      <c r="T254" s="9">
        <v>90</v>
      </c>
      <c r="U254" s="9">
        <v>4</v>
      </c>
      <c r="V254" s="9">
        <v>1</v>
      </c>
      <c r="W254" s="9">
        <v>2</v>
      </c>
      <c r="X254" s="9">
        <v>358</v>
      </c>
      <c r="Y254" s="9">
        <v>63.901224</v>
      </c>
      <c r="Z254" s="9">
        <v>1.5</v>
      </c>
      <c r="AA254" s="9">
        <v>640</v>
      </c>
      <c r="AB254" s="9">
        <v>640</v>
      </c>
      <c r="AC254" s="9" t="s">
        <v>681</v>
      </c>
      <c r="AD254" s="9">
        <v>3</v>
      </c>
      <c r="AE254" s="9">
        <v>3.3</v>
      </c>
      <c r="AF254" s="9" t="s">
        <v>1033</v>
      </c>
      <c r="AG254" s="9"/>
      <c r="AH254" s="9" t="s">
        <v>61</v>
      </c>
      <c r="AI254" s="10">
        <v>99.3902435302734</v>
      </c>
      <c r="AJ254" s="9">
        <v>100</v>
      </c>
      <c r="AK254" s="9" t="s">
        <v>1017</v>
      </c>
      <c r="AL254" s="9">
        <v>29</v>
      </c>
      <c r="AM254" s="9"/>
      <c r="AN254" s="9" t="s">
        <v>103</v>
      </c>
      <c r="AO254" s="9" t="s">
        <v>1018</v>
      </c>
      <c r="AP254" s="9" t="s">
        <v>1019</v>
      </c>
      <c r="AQ254" s="9" t="s">
        <v>106</v>
      </c>
      <c r="AR254" s="9"/>
      <c r="AS254" s="9" t="s">
        <v>68</v>
      </c>
      <c r="AT254" s="9" t="s">
        <v>69</v>
      </c>
      <c r="AU254" s="9"/>
      <c r="AV254" s="9">
        <v>30</v>
      </c>
    </row>
    <row r="255" spans="1:48">
      <c r="A255" s="9">
        <f t="shared" si="3"/>
        <v>254</v>
      </c>
      <c r="B255" s="9" t="s">
        <v>1012</v>
      </c>
      <c r="C255" s="9" t="s">
        <v>1034</v>
      </c>
      <c r="D255" s="9">
        <v>0</v>
      </c>
      <c r="E255" s="9">
        <v>0</v>
      </c>
      <c r="F255" s="9" t="s">
        <v>91</v>
      </c>
      <c r="G255" s="9" t="s">
        <v>1035</v>
      </c>
      <c r="H255" s="9"/>
      <c r="I255" s="9"/>
      <c r="J255" s="9" t="s">
        <v>53</v>
      </c>
      <c r="K255" s="9" t="s">
        <v>97</v>
      </c>
      <c r="L255" s="9" t="s">
        <v>98</v>
      </c>
      <c r="M255" s="9" t="s">
        <v>56</v>
      </c>
      <c r="N255" s="9" t="s">
        <v>99</v>
      </c>
      <c r="O255" s="9">
        <v>301</v>
      </c>
      <c r="P255" s="9" t="s">
        <v>58</v>
      </c>
      <c r="Q255" s="10">
        <v>696.635803222656</v>
      </c>
      <c r="R255" s="9">
        <v>7.915</v>
      </c>
      <c r="S255" s="9"/>
      <c r="T255" s="9">
        <v>90</v>
      </c>
      <c r="U255" s="9">
        <v>4</v>
      </c>
      <c r="V255" s="9">
        <v>1</v>
      </c>
      <c r="W255" s="9">
        <v>1</v>
      </c>
      <c r="X255" s="9">
        <v>329</v>
      </c>
      <c r="Y255" s="9">
        <v>63.901216</v>
      </c>
      <c r="Z255" s="9">
        <v>1.5</v>
      </c>
      <c r="AA255" s="9">
        <v>720</v>
      </c>
      <c r="AB255" s="9">
        <v>720</v>
      </c>
      <c r="AC255" s="9" t="s">
        <v>1036</v>
      </c>
      <c r="AD255" s="9">
        <v>3</v>
      </c>
      <c r="AE255" s="9">
        <v>3.3</v>
      </c>
      <c r="AF255" s="9" t="s">
        <v>1037</v>
      </c>
      <c r="AG255" s="9"/>
      <c r="AH255" s="9" t="s">
        <v>77</v>
      </c>
      <c r="AI255" s="9">
        <v>100</v>
      </c>
      <c r="AJ255" s="9">
        <v>100</v>
      </c>
      <c r="AK255" s="9" t="s">
        <v>1038</v>
      </c>
      <c r="AL255" s="9">
        <v>19</v>
      </c>
      <c r="AM255" s="9"/>
      <c r="AN255" s="9" t="s">
        <v>103</v>
      </c>
      <c r="AO255" s="9" t="s">
        <v>1018</v>
      </c>
      <c r="AP255" s="9" t="s">
        <v>1019</v>
      </c>
      <c r="AQ255" s="9" t="s">
        <v>106</v>
      </c>
      <c r="AR255" s="9"/>
      <c r="AS255" s="9" t="s">
        <v>68</v>
      </c>
      <c r="AT255" s="9" t="s">
        <v>69</v>
      </c>
      <c r="AU255" s="9"/>
      <c r="AV255" s="9">
        <v>40</v>
      </c>
    </row>
    <row r="256" spans="1:48">
      <c r="A256" s="9">
        <f t="shared" si="3"/>
        <v>255</v>
      </c>
      <c r="B256" s="9" t="s">
        <v>1012</v>
      </c>
      <c r="C256" s="9" t="s">
        <v>1039</v>
      </c>
      <c r="D256" s="9">
        <v>1</v>
      </c>
      <c r="E256" s="9">
        <v>1</v>
      </c>
      <c r="F256" s="9" t="s">
        <v>91</v>
      </c>
      <c r="G256" s="9" t="s">
        <v>1040</v>
      </c>
      <c r="H256" s="9"/>
      <c r="I256" s="9"/>
      <c r="J256" s="9" t="s">
        <v>53</v>
      </c>
      <c r="K256" s="9" t="s">
        <v>97</v>
      </c>
      <c r="L256" s="9" t="s">
        <v>113</v>
      </c>
      <c r="M256" s="9" t="s">
        <v>56</v>
      </c>
      <c r="N256" s="9" t="s">
        <v>99</v>
      </c>
      <c r="O256" s="9">
        <v>401</v>
      </c>
      <c r="P256" s="9" t="s">
        <v>58</v>
      </c>
      <c r="Q256" s="10">
        <v>3525.35668945312</v>
      </c>
      <c r="R256" s="9">
        <v>60</v>
      </c>
      <c r="S256" s="9"/>
      <c r="T256" s="9">
        <v>90</v>
      </c>
      <c r="U256" s="9">
        <v>18</v>
      </c>
      <c r="V256" s="9">
        <v>1</v>
      </c>
      <c r="W256" s="9">
        <v>2</v>
      </c>
      <c r="X256" s="9">
        <v>390</v>
      </c>
      <c r="Y256" s="9">
        <v>63.901196</v>
      </c>
      <c r="Z256" s="9">
        <v>1.5</v>
      </c>
      <c r="AA256" s="9">
        <v>528</v>
      </c>
      <c r="AB256" s="9">
        <v>528</v>
      </c>
      <c r="AC256" s="9" t="s">
        <v>1041</v>
      </c>
      <c r="AD256" s="9">
        <v>3</v>
      </c>
      <c r="AE256" s="9">
        <v>3.3</v>
      </c>
      <c r="AF256" s="9" t="s">
        <v>1042</v>
      </c>
      <c r="AG256" s="9"/>
      <c r="AH256" s="9" t="s">
        <v>77</v>
      </c>
      <c r="AI256" s="10">
        <v>90.8854141235351</v>
      </c>
      <c r="AJ256" s="9">
        <v>100</v>
      </c>
      <c r="AK256" s="9" t="s">
        <v>1038</v>
      </c>
      <c r="AL256" s="9">
        <v>16</v>
      </c>
      <c r="AM256" s="9"/>
      <c r="AN256" s="9" t="s">
        <v>103</v>
      </c>
      <c r="AO256" s="9" t="s">
        <v>1018</v>
      </c>
      <c r="AP256" s="9" t="s">
        <v>1019</v>
      </c>
      <c r="AQ256" s="9" t="s">
        <v>106</v>
      </c>
      <c r="AR256" s="9"/>
      <c r="AS256" s="9" t="s">
        <v>68</v>
      </c>
      <c r="AT256" s="9" t="s">
        <v>69</v>
      </c>
      <c r="AU256" s="9"/>
      <c r="AV256" s="9">
        <v>40</v>
      </c>
    </row>
    <row r="257" spans="1:48">
      <c r="A257" s="9">
        <f t="shared" si="3"/>
        <v>256</v>
      </c>
      <c r="B257" s="9" t="s">
        <v>1012</v>
      </c>
      <c r="C257" s="9" t="s">
        <v>1043</v>
      </c>
      <c r="D257" s="9">
        <v>1</v>
      </c>
      <c r="E257" s="9">
        <v>1</v>
      </c>
      <c r="F257" s="9" t="s">
        <v>72</v>
      </c>
      <c r="G257" s="9" t="s">
        <v>1044</v>
      </c>
      <c r="H257" s="9"/>
      <c r="I257" s="9"/>
      <c r="J257" s="9" t="s">
        <v>53</v>
      </c>
      <c r="K257" s="9" t="s">
        <v>97</v>
      </c>
      <c r="L257" s="9" t="s">
        <v>113</v>
      </c>
      <c r="M257" s="9" t="s">
        <v>56</v>
      </c>
      <c r="N257" s="9" t="s">
        <v>99</v>
      </c>
      <c r="O257" s="9">
        <v>1101</v>
      </c>
      <c r="P257" s="9" t="s">
        <v>58</v>
      </c>
      <c r="Q257" s="10">
        <v>2778.77294921875</v>
      </c>
      <c r="R257" s="9">
        <v>70</v>
      </c>
      <c r="S257" s="9"/>
      <c r="T257" s="9">
        <v>90</v>
      </c>
      <c r="U257" s="9">
        <v>20</v>
      </c>
      <c r="V257" s="9">
        <v>1</v>
      </c>
      <c r="W257" s="9">
        <v>4</v>
      </c>
      <c r="X257" s="9">
        <v>296</v>
      </c>
      <c r="Y257" s="9">
        <v>63.901208</v>
      </c>
      <c r="Z257" s="9">
        <v>1.5</v>
      </c>
      <c r="AA257" s="9">
        <v>400</v>
      </c>
      <c r="AB257" s="9">
        <v>400</v>
      </c>
      <c r="AC257" s="9" t="s">
        <v>281</v>
      </c>
      <c r="AD257" s="9">
        <v>2</v>
      </c>
      <c r="AE257" s="9">
        <v>2.2</v>
      </c>
      <c r="AF257" s="9" t="s">
        <v>1045</v>
      </c>
      <c r="AG257" s="9"/>
      <c r="AH257" s="9" t="s">
        <v>77</v>
      </c>
      <c r="AI257" s="10">
        <v>83.3333358764648</v>
      </c>
      <c r="AJ257" s="9">
        <v>100</v>
      </c>
      <c r="AK257" s="9" t="s">
        <v>1046</v>
      </c>
      <c r="AL257" s="9">
        <v>17</v>
      </c>
      <c r="AM257" s="9"/>
      <c r="AN257" s="9" t="s">
        <v>103</v>
      </c>
      <c r="AO257" s="9" t="s">
        <v>1018</v>
      </c>
      <c r="AP257" s="9" t="s">
        <v>1019</v>
      </c>
      <c r="AQ257" s="9" t="s">
        <v>106</v>
      </c>
      <c r="AR257" s="9"/>
      <c r="AS257" s="9" t="s">
        <v>68</v>
      </c>
      <c r="AT257" s="9" t="s">
        <v>69</v>
      </c>
      <c r="AU257" s="9"/>
      <c r="AV257" s="9">
        <v>20</v>
      </c>
    </row>
    <row r="258" spans="1:48">
      <c r="A258" s="9">
        <f t="shared" si="3"/>
        <v>257</v>
      </c>
      <c r="B258" s="9" t="s">
        <v>1012</v>
      </c>
      <c r="C258" s="9" t="s">
        <v>1047</v>
      </c>
      <c r="D258" s="9">
        <v>0</v>
      </c>
      <c r="E258" s="9">
        <v>0</v>
      </c>
      <c r="F258" s="9" t="s">
        <v>50</v>
      </c>
      <c r="G258" s="9" t="s">
        <v>1048</v>
      </c>
      <c r="H258" s="9"/>
      <c r="I258" s="9"/>
      <c r="J258" s="9" t="s">
        <v>53</v>
      </c>
      <c r="K258" s="9" t="s">
        <v>97</v>
      </c>
      <c r="L258" s="9" t="s">
        <v>98</v>
      </c>
      <c r="M258" s="9" t="s">
        <v>56</v>
      </c>
      <c r="N258" s="9" t="s">
        <v>99</v>
      </c>
      <c r="O258" s="9">
        <v>601</v>
      </c>
      <c r="P258" s="9" t="s">
        <v>58</v>
      </c>
      <c r="Q258" s="9">
        <v>3000</v>
      </c>
      <c r="R258" s="9">
        <v>60</v>
      </c>
      <c r="S258" s="9"/>
      <c r="T258" s="9">
        <v>90</v>
      </c>
      <c r="U258" s="9">
        <v>15</v>
      </c>
      <c r="V258" s="9">
        <v>1</v>
      </c>
      <c r="W258" s="9">
        <v>2</v>
      </c>
      <c r="X258" s="9">
        <v>292</v>
      </c>
      <c r="Y258" s="9">
        <v>63.901204</v>
      </c>
      <c r="Z258" s="9">
        <v>1.5</v>
      </c>
      <c r="AA258" s="9">
        <v>560</v>
      </c>
      <c r="AB258" s="9">
        <v>560</v>
      </c>
      <c r="AC258" s="9" t="s">
        <v>892</v>
      </c>
      <c r="AD258" s="9">
        <v>3</v>
      </c>
      <c r="AE258" s="9">
        <v>3.3</v>
      </c>
      <c r="AF258" s="9" t="s">
        <v>1049</v>
      </c>
      <c r="AG258" s="9"/>
      <c r="AH258" s="9" t="s">
        <v>61</v>
      </c>
      <c r="AI258" s="10">
        <v>90.8925323486328</v>
      </c>
      <c r="AJ258" s="9">
        <v>100</v>
      </c>
      <c r="AK258" s="9" t="s">
        <v>1017</v>
      </c>
      <c r="AL258" s="9">
        <v>1</v>
      </c>
      <c r="AM258" s="9"/>
      <c r="AN258" s="9" t="s">
        <v>103</v>
      </c>
      <c r="AO258" s="9" t="s">
        <v>1018</v>
      </c>
      <c r="AP258" s="9" t="s">
        <v>1019</v>
      </c>
      <c r="AQ258" s="9" t="s">
        <v>106</v>
      </c>
      <c r="AR258" s="9"/>
      <c r="AS258" s="9" t="s">
        <v>68</v>
      </c>
      <c r="AT258" s="9" t="s">
        <v>69</v>
      </c>
      <c r="AU258" s="9"/>
      <c r="AV258" s="9">
        <v>30</v>
      </c>
    </row>
    <row r="259" spans="1:48">
      <c r="A259" s="9">
        <f t="shared" ref="A259:A322" si="4">ROW()-1</f>
        <v>258</v>
      </c>
      <c r="B259" s="9" t="s">
        <v>1050</v>
      </c>
      <c r="C259" s="9" t="s">
        <v>1051</v>
      </c>
      <c r="D259" s="9">
        <v>0</v>
      </c>
      <c r="E259" s="9">
        <v>0</v>
      </c>
      <c r="F259" s="9" t="s">
        <v>72</v>
      </c>
      <c r="G259" s="9" t="s">
        <v>773</v>
      </c>
      <c r="H259" s="9"/>
      <c r="I259" s="9"/>
      <c r="J259" s="9" t="s">
        <v>53</v>
      </c>
      <c r="K259" s="9" t="s">
        <v>143</v>
      </c>
      <c r="L259" s="9" t="s">
        <v>774</v>
      </c>
      <c r="M259" s="9" t="s">
        <v>56</v>
      </c>
      <c r="N259" s="9" t="s">
        <v>145</v>
      </c>
      <c r="O259" s="9">
        <v>7</v>
      </c>
      <c r="P259" s="9" t="s">
        <v>58</v>
      </c>
      <c r="Q259" s="9">
        <v>484</v>
      </c>
      <c r="R259" s="9">
        <v>10.824</v>
      </c>
      <c r="S259" s="9"/>
      <c r="T259" s="9">
        <v>160</v>
      </c>
      <c r="U259" s="9">
        <v>4</v>
      </c>
      <c r="V259" s="9">
        <v>1</v>
      </c>
      <c r="W259" s="9">
        <v>1</v>
      </c>
      <c r="X259" s="9">
        <v>162.773</v>
      </c>
      <c r="Y259" s="9">
        <v>63.904327</v>
      </c>
      <c r="Z259" s="9">
        <v>1.5</v>
      </c>
      <c r="AA259" s="9">
        <v>512</v>
      </c>
      <c r="AB259" s="9">
        <v>512</v>
      </c>
      <c r="AC259" s="9" t="s">
        <v>716</v>
      </c>
      <c r="AD259" s="9">
        <v>4</v>
      </c>
      <c r="AE259" s="9">
        <v>4.5</v>
      </c>
      <c r="AF259" s="9" t="s">
        <v>900</v>
      </c>
      <c r="AG259" s="9"/>
      <c r="AH259" s="9" t="s">
        <v>77</v>
      </c>
      <c r="AI259" s="9">
        <v>100</v>
      </c>
      <c r="AJ259" s="9">
        <v>100</v>
      </c>
      <c r="AK259" s="9" t="s">
        <v>1052</v>
      </c>
      <c r="AL259" s="9">
        <v>22</v>
      </c>
      <c r="AM259" s="9"/>
      <c r="AN259" s="9" t="s">
        <v>149</v>
      </c>
      <c r="AO259" s="9" t="s">
        <v>754</v>
      </c>
      <c r="AP259" s="9" t="s">
        <v>755</v>
      </c>
      <c r="AQ259" s="9" t="s">
        <v>756</v>
      </c>
      <c r="AR259" s="9" t="s">
        <v>756</v>
      </c>
      <c r="AS259" s="9" t="s">
        <v>68</v>
      </c>
      <c r="AT259" s="9" t="s">
        <v>69</v>
      </c>
      <c r="AU259" s="9"/>
      <c r="AV259" s="9">
        <v>26</v>
      </c>
    </row>
    <row r="260" spans="1:48">
      <c r="A260" s="9">
        <f t="shared" si="4"/>
        <v>259</v>
      </c>
      <c r="B260" s="9" t="s">
        <v>1050</v>
      </c>
      <c r="C260" s="9" t="s">
        <v>1053</v>
      </c>
      <c r="D260" s="9">
        <v>1</v>
      </c>
      <c r="E260" s="9">
        <v>1</v>
      </c>
      <c r="F260" s="9" t="s">
        <v>50</v>
      </c>
      <c r="G260" s="9" t="s">
        <v>768</v>
      </c>
      <c r="H260" s="9"/>
      <c r="I260" s="9"/>
      <c r="J260" s="9" t="s">
        <v>53</v>
      </c>
      <c r="K260" s="9" t="s">
        <v>143</v>
      </c>
      <c r="L260" s="9" t="s">
        <v>769</v>
      </c>
      <c r="M260" s="9" t="s">
        <v>56</v>
      </c>
      <c r="N260" s="9" t="s">
        <v>145</v>
      </c>
      <c r="O260" s="9">
        <v>4</v>
      </c>
      <c r="P260" s="9" t="s">
        <v>58</v>
      </c>
      <c r="Q260" s="9">
        <v>2571</v>
      </c>
      <c r="R260" s="9">
        <v>34.98</v>
      </c>
      <c r="S260" s="9"/>
      <c r="T260" s="9">
        <v>160</v>
      </c>
      <c r="U260" s="9">
        <v>9</v>
      </c>
      <c r="V260" s="9">
        <v>1</v>
      </c>
      <c r="W260" s="9">
        <v>1</v>
      </c>
      <c r="X260" s="9">
        <v>325.547</v>
      </c>
      <c r="Y260" s="9">
        <v>63.90433</v>
      </c>
      <c r="Z260" s="9">
        <v>1.5</v>
      </c>
      <c r="AA260" s="9">
        <v>256</v>
      </c>
      <c r="AB260" s="9">
        <v>256</v>
      </c>
      <c r="AC260" s="9" t="s">
        <v>1054</v>
      </c>
      <c r="AD260" s="9">
        <v>4</v>
      </c>
      <c r="AE260" s="9">
        <v>4.5</v>
      </c>
      <c r="AF260" s="9" t="s">
        <v>1055</v>
      </c>
      <c r="AG260" s="9"/>
      <c r="AH260" s="9" t="s">
        <v>61</v>
      </c>
      <c r="AI260" s="9">
        <v>100</v>
      </c>
      <c r="AJ260" s="9">
        <v>100</v>
      </c>
      <c r="AK260" s="9" t="s">
        <v>1056</v>
      </c>
      <c r="AL260" s="9">
        <v>9</v>
      </c>
      <c r="AM260" s="9"/>
      <c r="AN260" s="9" t="s">
        <v>149</v>
      </c>
      <c r="AO260" s="9" t="s">
        <v>754</v>
      </c>
      <c r="AP260" s="9" t="s">
        <v>755</v>
      </c>
      <c r="AQ260" s="9" t="s">
        <v>756</v>
      </c>
      <c r="AR260" s="9" t="s">
        <v>756</v>
      </c>
      <c r="AS260" s="9" t="s">
        <v>68</v>
      </c>
      <c r="AT260" s="9" t="s">
        <v>69</v>
      </c>
      <c r="AU260" s="9"/>
      <c r="AV260" s="9">
        <v>26</v>
      </c>
    </row>
    <row r="261" spans="1:48">
      <c r="A261" s="9">
        <f t="shared" si="4"/>
        <v>260</v>
      </c>
      <c r="B261" s="9" t="s">
        <v>1050</v>
      </c>
      <c r="C261" s="9" t="s">
        <v>1057</v>
      </c>
      <c r="D261" s="9">
        <v>0</v>
      </c>
      <c r="E261" s="9">
        <v>0</v>
      </c>
      <c r="F261" s="9" t="s">
        <v>50</v>
      </c>
      <c r="G261" s="9" t="s">
        <v>763</v>
      </c>
      <c r="H261" s="9"/>
      <c r="I261" s="9"/>
      <c r="J261" s="9" t="s">
        <v>53</v>
      </c>
      <c r="K261" s="9" t="s">
        <v>143</v>
      </c>
      <c r="L261" s="9" t="s">
        <v>764</v>
      </c>
      <c r="M261" s="9" t="s">
        <v>56</v>
      </c>
      <c r="N261" s="9" t="s">
        <v>145</v>
      </c>
      <c r="O261" s="9">
        <v>5</v>
      </c>
      <c r="P261" s="9" t="s">
        <v>58</v>
      </c>
      <c r="Q261" s="9">
        <v>402</v>
      </c>
      <c r="R261" s="9">
        <v>8.748</v>
      </c>
      <c r="S261" s="9"/>
      <c r="T261" s="9">
        <v>160</v>
      </c>
      <c r="U261" s="9">
        <v>4</v>
      </c>
      <c r="V261" s="9">
        <v>1</v>
      </c>
      <c r="W261" s="9">
        <v>1</v>
      </c>
      <c r="X261" s="9">
        <v>162.773</v>
      </c>
      <c r="Y261" s="9">
        <v>63.90433</v>
      </c>
      <c r="Z261" s="9">
        <v>1.5</v>
      </c>
      <c r="AA261" s="9">
        <v>512</v>
      </c>
      <c r="AB261" s="9">
        <v>512</v>
      </c>
      <c r="AC261" s="9" t="s">
        <v>186</v>
      </c>
      <c r="AD261" s="9">
        <v>4</v>
      </c>
      <c r="AE261" s="9">
        <v>4.5</v>
      </c>
      <c r="AF261" s="9" t="s">
        <v>1055</v>
      </c>
      <c r="AG261" s="9"/>
      <c r="AH261" s="9" t="s">
        <v>61</v>
      </c>
      <c r="AI261" s="9">
        <v>100</v>
      </c>
      <c r="AJ261" s="9">
        <v>100</v>
      </c>
      <c r="AK261" s="9" t="s">
        <v>1058</v>
      </c>
      <c r="AL261" s="9">
        <v>24</v>
      </c>
      <c r="AM261" s="9"/>
      <c r="AN261" s="9" t="s">
        <v>149</v>
      </c>
      <c r="AO261" s="9" t="s">
        <v>754</v>
      </c>
      <c r="AP261" s="9" t="s">
        <v>755</v>
      </c>
      <c r="AQ261" s="9" t="s">
        <v>756</v>
      </c>
      <c r="AR261" s="9" t="s">
        <v>756</v>
      </c>
      <c r="AS261" s="9" t="s">
        <v>68</v>
      </c>
      <c r="AT261" s="9" t="s">
        <v>69</v>
      </c>
      <c r="AU261" s="9"/>
      <c r="AV261" s="9">
        <v>26</v>
      </c>
    </row>
    <row r="262" spans="1:48">
      <c r="A262" s="9">
        <f t="shared" si="4"/>
        <v>261</v>
      </c>
      <c r="B262" s="9" t="s">
        <v>1050</v>
      </c>
      <c r="C262" s="9" t="s">
        <v>1059</v>
      </c>
      <c r="D262" s="9">
        <v>1</v>
      </c>
      <c r="E262" s="9">
        <v>1</v>
      </c>
      <c r="F262" s="9" t="s">
        <v>72</v>
      </c>
      <c r="G262" s="9" t="s">
        <v>750</v>
      </c>
      <c r="H262" s="9"/>
      <c r="I262" s="9"/>
      <c r="J262" s="9" t="s">
        <v>53</v>
      </c>
      <c r="K262" s="9" t="s">
        <v>143</v>
      </c>
      <c r="L262" s="9" t="s">
        <v>751</v>
      </c>
      <c r="M262" s="9" t="s">
        <v>56</v>
      </c>
      <c r="N262" s="9" t="s">
        <v>145</v>
      </c>
      <c r="O262" s="9">
        <v>6</v>
      </c>
      <c r="P262" s="9" t="s">
        <v>58</v>
      </c>
      <c r="Q262" s="9">
        <v>1823</v>
      </c>
      <c r="R262" s="9">
        <v>32.16</v>
      </c>
      <c r="S262" s="9"/>
      <c r="T262" s="9">
        <v>160</v>
      </c>
      <c r="U262" s="9">
        <v>9</v>
      </c>
      <c r="V262" s="9">
        <v>1</v>
      </c>
      <c r="W262" s="9">
        <v>1</v>
      </c>
      <c r="X262" s="9">
        <v>97.6562</v>
      </c>
      <c r="Y262" s="9">
        <v>63.904327</v>
      </c>
      <c r="Z262" s="9">
        <v>1.5</v>
      </c>
      <c r="AA262" s="9">
        <v>512</v>
      </c>
      <c r="AB262" s="9">
        <v>512</v>
      </c>
      <c r="AC262" s="9" t="s">
        <v>716</v>
      </c>
      <c r="AD262" s="9">
        <v>4</v>
      </c>
      <c r="AE262" s="9">
        <v>4.5</v>
      </c>
      <c r="AF262" s="9" t="s">
        <v>84</v>
      </c>
      <c r="AG262" s="9"/>
      <c r="AH262" s="9" t="s">
        <v>77</v>
      </c>
      <c r="AI262" s="9">
        <v>100</v>
      </c>
      <c r="AJ262" s="9">
        <v>100</v>
      </c>
      <c r="AK262" s="9" t="s">
        <v>1060</v>
      </c>
      <c r="AL262" s="9">
        <v>6</v>
      </c>
      <c r="AM262" s="9"/>
      <c r="AN262" s="9" t="s">
        <v>149</v>
      </c>
      <c r="AO262" s="9" t="s">
        <v>754</v>
      </c>
      <c r="AP262" s="9" t="s">
        <v>755</v>
      </c>
      <c r="AQ262" s="9" t="s">
        <v>756</v>
      </c>
      <c r="AR262" s="9" t="s">
        <v>756</v>
      </c>
      <c r="AS262" s="9" t="s">
        <v>68</v>
      </c>
      <c r="AT262" s="9" t="s">
        <v>69</v>
      </c>
      <c r="AU262" s="9"/>
      <c r="AV262" s="9">
        <v>26</v>
      </c>
    </row>
    <row r="263" spans="1:48">
      <c r="A263" s="9">
        <f t="shared" si="4"/>
        <v>262</v>
      </c>
      <c r="B263" s="9" t="s">
        <v>1050</v>
      </c>
      <c r="C263" s="9" t="s">
        <v>1061</v>
      </c>
      <c r="D263" s="9">
        <v>1</v>
      </c>
      <c r="E263" s="9">
        <v>1</v>
      </c>
      <c r="F263" s="9" t="s">
        <v>91</v>
      </c>
      <c r="G263" s="9" t="s">
        <v>758</v>
      </c>
      <c r="H263" s="9"/>
      <c r="I263" s="9"/>
      <c r="J263" s="9" t="s">
        <v>53</v>
      </c>
      <c r="K263" s="9" t="s">
        <v>143</v>
      </c>
      <c r="L263" s="9" t="s">
        <v>759</v>
      </c>
      <c r="M263" s="9" t="s">
        <v>56</v>
      </c>
      <c r="N263" s="9" t="s">
        <v>145</v>
      </c>
      <c r="O263" s="9">
        <v>3</v>
      </c>
      <c r="P263" s="9" t="s">
        <v>58</v>
      </c>
      <c r="Q263" s="9">
        <v>3778</v>
      </c>
      <c r="R263" s="9">
        <v>41.148</v>
      </c>
      <c r="S263" s="9"/>
      <c r="T263" s="9">
        <v>160</v>
      </c>
      <c r="U263" s="9">
        <v>9</v>
      </c>
      <c r="V263" s="9">
        <v>1</v>
      </c>
      <c r="W263" s="9">
        <v>1</v>
      </c>
      <c r="X263" s="9">
        <v>122.07</v>
      </c>
      <c r="Y263" s="9">
        <v>63.904299</v>
      </c>
      <c r="Z263" s="9">
        <v>1.5</v>
      </c>
      <c r="AA263" s="9">
        <v>512</v>
      </c>
      <c r="AB263" s="9">
        <v>512</v>
      </c>
      <c r="AC263" s="9" t="s">
        <v>507</v>
      </c>
      <c r="AD263" s="9">
        <v>4</v>
      </c>
      <c r="AE263" s="9">
        <v>4.5</v>
      </c>
      <c r="AF263" s="9" t="s">
        <v>760</v>
      </c>
      <c r="AG263" s="9"/>
      <c r="AH263" s="9" t="s">
        <v>77</v>
      </c>
      <c r="AI263" s="9">
        <v>100</v>
      </c>
      <c r="AJ263" s="9">
        <v>100</v>
      </c>
      <c r="AK263" s="9" t="s">
        <v>1062</v>
      </c>
      <c r="AL263" s="9">
        <v>16</v>
      </c>
      <c r="AM263" s="9"/>
      <c r="AN263" s="9" t="s">
        <v>149</v>
      </c>
      <c r="AO263" s="9" t="s">
        <v>754</v>
      </c>
      <c r="AP263" s="9" t="s">
        <v>755</v>
      </c>
      <c r="AQ263" s="9" t="s">
        <v>756</v>
      </c>
      <c r="AR263" s="9" t="s">
        <v>756</v>
      </c>
      <c r="AS263" s="9" t="s">
        <v>68</v>
      </c>
      <c r="AT263" s="9" t="s">
        <v>69</v>
      </c>
      <c r="AU263" s="9"/>
      <c r="AV263" s="9">
        <v>30</v>
      </c>
    </row>
    <row r="264" spans="1:48">
      <c r="A264" s="9">
        <f t="shared" si="4"/>
        <v>263</v>
      </c>
      <c r="B264" s="9" t="s">
        <v>1063</v>
      </c>
      <c r="C264" s="9" t="s">
        <v>1064</v>
      </c>
      <c r="D264" s="9">
        <v>1</v>
      </c>
      <c r="E264" s="9">
        <v>1</v>
      </c>
      <c r="F264" s="9" t="s">
        <v>72</v>
      </c>
      <c r="G264" s="9" t="s">
        <v>382</v>
      </c>
      <c r="H264" s="9"/>
      <c r="I264" s="9"/>
      <c r="J264" s="9" t="s">
        <v>53</v>
      </c>
      <c r="K264" s="9" t="s">
        <v>97</v>
      </c>
      <c r="L264" s="9" t="s">
        <v>113</v>
      </c>
      <c r="M264" s="9" t="s">
        <v>56</v>
      </c>
      <c r="N264" s="9" t="s">
        <v>99</v>
      </c>
      <c r="O264" s="9">
        <v>601</v>
      </c>
      <c r="P264" s="9" t="s">
        <v>58</v>
      </c>
      <c r="Q264" s="10">
        <v>1608.18664550781</v>
      </c>
      <c r="R264" s="9">
        <v>20</v>
      </c>
      <c r="S264" s="9"/>
      <c r="T264" s="9">
        <v>90</v>
      </c>
      <c r="U264" s="9">
        <v>11</v>
      </c>
      <c r="V264" s="9">
        <v>1</v>
      </c>
      <c r="W264" s="9">
        <v>2</v>
      </c>
      <c r="X264" s="9">
        <v>339</v>
      </c>
      <c r="Y264" s="9">
        <v>127.756512</v>
      </c>
      <c r="Z264" s="9">
        <v>3</v>
      </c>
      <c r="AA264" s="9">
        <v>512</v>
      </c>
      <c r="AB264" s="9">
        <v>512</v>
      </c>
      <c r="AC264" s="9" t="s">
        <v>365</v>
      </c>
      <c r="AD264" s="9">
        <v>4</v>
      </c>
      <c r="AE264" s="9">
        <v>5.188</v>
      </c>
      <c r="AF264" s="9" t="s">
        <v>383</v>
      </c>
      <c r="AG264" s="9"/>
      <c r="AH264" s="9" t="s">
        <v>77</v>
      </c>
      <c r="AI264" s="9">
        <v>100</v>
      </c>
      <c r="AJ264" s="9">
        <v>100</v>
      </c>
      <c r="AK264" s="9" t="s">
        <v>1065</v>
      </c>
      <c r="AL264" s="9">
        <v>18</v>
      </c>
      <c r="AM264" s="9">
        <v>1</v>
      </c>
      <c r="AN264" s="9" t="s">
        <v>368</v>
      </c>
      <c r="AO264" s="9" t="s">
        <v>369</v>
      </c>
      <c r="AP264" s="9" t="s">
        <v>370</v>
      </c>
      <c r="AQ264" s="9" t="s">
        <v>106</v>
      </c>
      <c r="AR264" s="9"/>
      <c r="AS264" s="9" t="s">
        <v>68</v>
      </c>
      <c r="AT264" s="9" t="s">
        <v>69</v>
      </c>
      <c r="AU264" s="9"/>
      <c r="AV264" s="9">
        <v>18</v>
      </c>
    </row>
    <row r="265" spans="1:48">
      <c r="A265" s="9">
        <f t="shared" si="4"/>
        <v>264</v>
      </c>
      <c r="B265" s="9" t="s">
        <v>1063</v>
      </c>
      <c r="C265" s="9" t="s">
        <v>1066</v>
      </c>
      <c r="D265" s="9">
        <v>1</v>
      </c>
      <c r="E265" s="9">
        <v>1</v>
      </c>
      <c r="F265" s="9" t="s">
        <v>91</v>
      </c>
      <c r="G265" s="9" t="s">
        <v>377</v>
      </c>
      <c r="H265" s="9"/>
      <c r="I265" s="9"/>
      <c r="J265" s="9" t="s">
        <v>53</v>
      </c>
      <c r="K265" s="9" t="s">
        <v>97</v>
      </c>
      <c r="L265" s="9" t="s">
        <v>113</v>
      </c>
      <c r="M265" s="9" t="s">
        <v>56</v>
      </c>
      <c r="N265" s="9" t="s">
        <v>99</v>
      </c>
      <c r="O265" s="9">
        <v>901</v>
      </c>
      <c r="P265" s="9" t="s">
        <v>58</v>
      </c>
      <c r="Q265" s="10">
        <v>1999.99975585937</v>
      </c>
      <c r="R265" s="9">
        <v>45</v>
      </c>
      <c r="S265" s="9"/>
      <c r="T265" s="9">
        <v>90</v>
      </c>
      <c r="U265" s="9">
        <v>21</v>
      </c>
      <c r="V265" s="9">
        <v>1</v>
      </c>
      <c r="W265" s="9">
        <v>4</v>
      </c>
      <c r="X265" s="9">
        <v>434</v>
      </c>
      <c r="Y265" s="9">
        <v>127.756552</v>
      </c>
      <c r="Z265" s="9">
        <v>3</v>
      </c>
      <c r="AA265" s="9">
        <v>432</v>
      </c>
      <c r="AB265" s="9">
        <v>432</v>
      </c>
      <c r="AC265" s="9" t="s">
        <v>378</v>
      </c>
      <c r="AD265" s="9">
        <v>2.5</v>
      </c>
      <c r="AE265" s="9">
        <v>3.809</v>
      </c>
      <c r="AF265" s="9" t="s">
        <v>379</v>
      </c>
      <c r="AG265" s="9"/>
      <c r="AH265" s="9" t="s">
        <v>77</v>
      </c>
      <c r="AI265" s="10">
        <v>89.8461532592773</v>
      </c>
      <c r="AJ265" s="9">
        <v>135</v>
      </c>
      <c r="AK265" s="9" t="s">
        <v>1067</v>
      </c>
      <c r="AL265" s="9">
        <v>5</v>
      </c>
      <c r="AM265" s="9">
        <v>1</v>
      </c>
      <c r="AN265" s="9" t="s">
        <v>368</v>
      </c>
      <c r="AO265" s="9" t="s">
        <v>369</v>
      </c>
      <c r="AP265" s="9" t="s">
        <v>370</v>
      </c>
      <c r="AQ265" s="9" t="s">
        <v>106</v>
      </c>
      <c r="AR265" s="9"/>
      <c r="AS265" s="9" t="s">
        <v>68</v>
      </c>
      <c r="AT265" s="9" t="s">
        <v>69</v>
      </c>
      <c r="AU265" s="9"/>
      <c r="AV265" s="9">
        <v>12</v>
      </c>
    </row>
    <row r="266" spans="1:48">
      <c r="A266" s="9">
        <f t="shared" si="4"/>
        <v>265</v>
      </c>
      <c r="B266" s="9" t="s">
        <v>1063</v>
      </c>
      <c r="C266" s="9" t="s">
        <v>1068</v>
      </c>
      <c r="D266" s="9">
        <v>1</v>
      </c>
      <c r="E266" s="9">
        <v>1</v>
      </c>
      <c r="F266" s="9" t="s">
        <v>50</v>
      </c>
      <c r="G266" s="9" t="s">
        <v>385</v>
      </c>
      <c r="H266" s="9"/>
      <c r="I266" s="9"/>
      <c r="J266" s="9" t="s">
        <v>53</v>
      </c>
      <c r="K266" s="9" t="s">
        <v>97</v>
      </c>
      <c r="L266" s="9" t="s">
        <v>113</v>
      </c>
      <c r="M266" s="9" t="s">
        <v>56</v>
      </c>
      <c r="N266" s="9" t="s">
        <v>99</v>
      </c>
      <c r="O266" s="9">
        <v>401</v>
      </c>
      <c r="P266" s="9" t="s">
        <v>58</v>
      </c>
      <c r="Q266" s="9">
        <v>1613.310546875</v>
      </c>
      <c r="R266" s="9">
        <v>20</v>
      </c>
      <c r="S266" s="9"/>
      <c r="T266" s="9">
        <v>90</v>
      </c>
      <c r="U266" s="9">
        <v>14</v>
      </c>
      <c r="V266" s="9">
        <v>1</v>
      </c>
      <c r="W266" s="9">
        <v>1</v>
      </c>
      <c r="X266" s="9">
        <v>264</v>
      </c>
      <c r="Y266" s="9">
        <v>127.75652</v>
      </c>
      <c r="Z266" s="9">
        <v>3</v>
      </c>
      <c r="AA266" s="9">
        <v>640</v>
      </c>
      <c r="AB266" s="9">
        <v>640</v>
      </c>
      <c r="AC266" s="9" t="s">
        <v>386</v>
      </c>
      <c r="AD266" s="9">
        <v>3.5</v>
      </c>
      <c r="AE266" s="9">
        <v>4.5</v>
      </c>
      <c r="AF266" s="9" t="s">
        <v>387</v>
      </c>
      <c r="AG266" s="9"/>
      <c r="AH266" s="9" t="s">
        <v>61</v>
      </c>
      <c r="AI266" s="10">
        <v>88.4078216552734</v>
      </c>
      <c r="AJ266" s="9">
        <v>100</v>
      </c>
      <c r="AK266" s="9" t="s">
        <v>1069</v>
      </c>
      <c r="AL266" s="9">
        <v>5</v>
      </c>
      <c r="AM266" s="9">
        <v>1</v>
      </c>
      <c r="AN266" s="9" t="s">
        <v>368</v>
      </c>
      <c r="AO266" s="9" t="s">
        <v>369</v>
      </c>
      <c r="AP266" s="9" t="s">
        <v>370</v>
      </c>
      <c r="AQ266" s="9" t="s">
        <v>106</v>
      </c>
      <c r="AR266" s="9"/>
      <c r="AS266" s="9" t="s">
        <v>68</v>
      </c>
      <c r="AT266" s="9" t="s">
        <v>69</v>
      </c>
      <c r="AU266" s="9"/>
      <c r="AV266" s="9">
        <v>22</v>
      </c>
    </row>
    <row r="267" spans="1:48">
      <c r="A267" s="9">
        <f t="shared" si="4"/>
        <v>266</v>
      </c>
      <c r="B267" s="9" t="s">
        <v>1063</v>
      </c>
      <c r="C267" s="9" t="s">
        <v>1070</v>
      </c>
      <c r="D267" s="9">
        <v>0</v>
      </c>
      <c r="E267" s="9">
        <v>0</v>
      </c>
      <c r="F267" s="9" t="s">
        <v>72</v>
      </c>
      <c r="G267" s="9" t="s">
        <v>364</v>
      </c>
      <c r="H267" s="9"/>
      <c r="I267" s="9"/>
      <c r="J267" s="9" t="s">
        <v>53</v>
      </c>
      <c r="K267" s="9" t="s">
        <v>97</v>
      </c>
      <c r="L267" s="9" t="s">
        <v>98</v>
      </c>
      <c r="M267" s="9" t="s">
        <v>56</v>
      </c>
      <c r="N267" s="9" t="s">
        <v>99</v>
      </c>
      <c r="O267" s="9">
        <v>701</v>
      </c>
      <c r="P267" s="9" t="s">
        <v>58</v>
      </c>
      <c r="Q267" s="10">
        <v>500.000396728515</v>
      </c>
      <c r="R267" s="9">
        <v>20</v>
      </c>
      <c r="S267" s="9"/>
      <c r="T267" s="9">
        <v>90</v>
      </c>
      <c r="U267" s="9">
        <v>6</v>
      </c>
      <c r="V267" s="9">
        <v>1</v>
      </c>
      <c r="W267" s="9">
        <v>3</v>
      </c>
      <c r="X267" s="9">
        <v>306</v>
      </c>
      <c r="Y267" s="9">
        <v>127.756424</v>
      </c>
      <c r="Z267" s="9">
        <v>3</v>
      </c>
      <c r="AA267" s="9">
        <v>512</v>
      </c>
      <c r="AB267" s="9">
        <v>512</v>
      </c>
      <c r="AC267" s="9" t="s">
        <v>365</v>
      </c>
      <c r="AD267" s="9">
        <v>4</v>
      </c>
      <c r="AE267" s="9">
        <v>5.188</v>
      </c>
      <c r="AF267" s="9" t="s">
        <v>366</v>
      </c>
      <c r="AG267" s="9"/>
      <c r="AH267" s="9" t="s">
        <v>77</v>
      </c>
      <c r="AI267" s="10">
        <v>69.2307662963867</v>
      </c>
      <c r="AJ267" s="9">
        <v>100</v>
      </c>
      <c r="AK267" s="9" t="s">
        <v>1065</v>
      </c>
      <c r="AL267" s="9">
        <v>3</v>
      </c>
      <c r="AM267" s="9">
        <v>1</v>
      </c>
      <c r="AN267" s="9" t="s">
        <v>368</v>
      </c>
      <c r="AO267" s="9" t="s">
        <v>369</v>
      </c>
      <c r="AP267" s="9" t="s">
        <v>370</v>
      </c>
      <c r="AQ267" s="9" t="s">
        <v>106</v>
      </c>
      <c r="AR267" s="9"/>
      <c r="AS267" s="9" t="s">
        <v>68</v>
      </c>
      <c r="AT267" s="9" t="s">
        <v>69</v>
      </c>
      <c r="AU267" s="9"/>
      <c r="AV267" s="9">
        <v>18</v>
      </c>
    </row>
    <row r="268" spans="1:48">
      <c r="A268" s="9">
        <f t="shared" si="4"/>
        <v>267</v>
      </c>
      <c r="B268" s="9" t="s">
        <v>1063</v>
      </c>
      <c r="C268" s="9" t="s">
        <v>1071</v>
      </c>
      <c r="D268" s="9">
        <v>1</v>
      </c>
      <c r="E268" s="9">
        <v>1</v>
      </c>
      <c r="F268" s="9" t="s">
        <v>91</v>
      </c>
      <c r="G268" s="9" t="s">
        <v>389</v>
      </c>
      <c r="H268" s="9"/>
      <c r="I268" s="9"/>
      <c r="J268" s="9" t="s">
        <v>390</v>
      </c>
      <c r="K268" s="9" t="s">
        <v>97</v>
      </c>
      <c r="L268" s="9" t="s">
        <v>391</v>
      </c>
      <c r="M268" s="9" t="s">
        <v>56</v>
      </c>
      <c r="N268" s="9" t="s">
        <v>392</v>
      </c>
      <c r="O268" s="9">
        <v>501</v>
      </c>
      <c r="P268" s="9" t="s">
        <v>58</v>
      </c>
      <c r="Q268" s="10">
        <v>2992.63696289062</v>
      </c>
      <c r="R268" s="9">
        <v>30</v>
      </c>
      <c r="S268" s="9">
        <v>190</v>
      </c>
      <c r="T268" s="9">
        <v>90</v>
      </c>
      <c r="U268" s="9">
        <v>16</v>
      </c>
      <c r="V268" s="9">
        <v>1</v>
      </c>
      <c r="W268" s="9">
        <v>2</v>
      </c>
      <c r="X268" s="9">
        <v>588</v>
      </c>
      <c r="Y268" s="9">
        <v>127.756424</v>
      </c>
      <c r="Z268" s="9">
        <v>3</v>
      </c>
      <c r="AA268" s="9">
        <v>352</v>
      </c>
      <c r="AB268" s="9">
        <v>352</v>
      </c>
      <c r="AC268" s="9" t="s">
        <v>393</v>
      </c>
      <c r="AD268" s="9">
        <v>3.5</v>
      </c>
      <c r="AE268" s="9">
        <v>5.445</v>
      </c>
      <c r="AF268" s="9" t="s">
        <v>325</v>
      </c>
      <c r="AG268" s="9"/>
      <c r="AH268" s="9" t="s">
        <v>77</v>
      </c>
      <c r="AI268" s="9">
        <v>107.421875</v>
      </c>
      <c r="AJ268" s="9">
        <v>100</v>
      </c>
      <c r="AK268" s="9" t="s">
        <v>1072</v>
      </c>
      <c r="AL268" s="9">
        <v>6</v>
      </c>
      <c r="AM268" s="9">
        <v>1</v>
      </c>
      <c r="AN268" s="9" t="s">
        <v>368</v>
      </c>
      <c r="AO268" s="9" t="s">
        <v>369</v>
      </c>
      <c r="AP268" s="9" t="s">
        <v>370</v>
      </c>
      <c r="AQ268" s="9" t="s">
        <v>106</v>
      </c>
      <c r="AR268" s="9"/>
      <c r="AS268" s="9" t="s">
        <v>68</v>
      </c>
      <c r="AT268" s="9" t="s">
        <v>69</v>
      </c>
      <c r="AU268" s="9"/>
      <c r="AV268" s="9">
        <v>22</v>
      </c>
    </row>
    <row r="269" spans="1:48">
      <c r="A269" s="9">
        <f t="shared" si="4"/>
        <v>268</v>
      </c>
      <c r="B269" s="9" t="s">
        <v>1063</v>
      </c>
      <c r="C269" s="9" t="s">
        <v>1073</v>
      </c>
      <c r="D269" s="9">
        <v>0</v>
      </c>
      <c r="E269" s="9">
        <v>0</v>
      </c>
      <c r="F269" s="9" t="s">
        <v>50</v>
      </c>
      <c r="G269" s="9" t="s">
        <v>372</v>
      </c>
      <c r="H269" s="9"/>
      <c r="I269" s="9"/>
      <c r="J269" s="9" t="s">
        <v>53</v>
      </c>
      <c r="K269" s="9" t="s">
        <v>97</v>
      </c>
      <c r="L269" s="9" t="s">
        <v>98</v>
      </c>
      <c r="M269" s="9" t="s">
        <v>56</v>
      </c>
      <c r="N269" s="9" t="s">
        <v>99</v>
      </c>
      <c r="O269" s="9">
        <v>301</v>
      </c>
      <c r="P269" s="9" t="s">
        <v>58</v>
      </c>
      <c r="Q269" s="9">
        <v>1576.8203125</v>
      </c>
      <c r="R269" s="9">
        <v>20</v>
      </c>
      <c r="S269" s="9"/>
      <c r="T269" s="9">
        <v>90</v>
      </c>
      <c r="U269" s="9">
        <v>14</v>
      </c>
      <c r="V269" s="9">
        <v>1</v>
      </c>
      <c r="W269" s="9">
        <v>1</v>
      </c>
      <c r="X269" s="9">
        <v>290</v>
      </c>
      <c r="Y269" s="9">
        <v>127.756424</v>
      </c>
      <c r="Z269" s="9">
        <v>3</v>
      </c>
      <c r="AA269" s="9">
        <v>1024</v>
      </c>
      <c r="AB269" s="9">
        <v>1024</v>
      </c>
      <c r="AC269" s="9" t="s">
        <v>373</v>
      </c>
      <c r="AD269" s="9">
        <v>3.5</v>
      </c>
      <c r="AE269" s="9">
        <v>4.5</v>
      </c>
      <c r="AF269" s="9" t="s">
        <v>374</v>
      </c>
      <c r="AG269" s="9"/>
      <c r="AH269" s="9" t="s">
        <v>61</v>
      </c>
      <c r="AI269" s="9">
        <v>100</v>
      </c>
      <c r="AJ269" s="9">
        <v>100</v>
      </c>
      <c r="AK269" s="9" t="s">
        <v>1069</v>
      </c>
      <c r="AL269" s="9">
        <v>21</v>
      </c>
      <c r="AM269" s="9">
        <v>1</v>
      </c>
      <c r="AN269" s="9" t="s">
        <v>368</v>
      </c>
      <c r="AO269" s="9" t="s">
        <v>369</v>
      </c>
      <c r="AP269" s="9" t="s">
        <v>370</v>
      </c>
      <c r="AQ269" s="9" t="s">
        <v>106</v>
      </c>
      <c r="AR269" s="9"/>
      <c r="AS269" s="9" t="s">
        <v>68</v>
      </c>
      <c r="AT269" s="9" t="s">
        <v>69</v>
      </c>
      <c r="AU269" s="9"/>
      <c r="AV269" s="9">
        <v>22</v>
      </c>
    </row>
    <row r="270" spans="1:48">
      <c r="A270" s="9">
        <f t="shared" si="4"/>
        <v>269</v>
      </c>
      <c r="B270" s="9" t="s">
        <v>1074</v>
      </c>
      <c r="C270" s="9" t="s">
        <v>1075</v>
      </c>
      <c r="D270" s="9">
        <v>1</v>
      </c>
      <c r="E270" s="9">
        <v>1</v>
      </c>
      <c r="F270" s="9" t="s">
        <v>72</v>
      </c>
      <c r="G270" s="9" t="s">
        <v>1076</v>
      </c>
      <c r="H270" s="9"/>
      <c r="I270" s="9"/>
      <c r="J270" s="9" t="s">
        <v>53</v>
      </c>
      <c r="K270" s="9" t="s">
        <v>97</v>
      </c>
      <c r="L270" s="9" t="s">
        <v>1077</v>
      </c>
      <c r="M270" s="9" t="s">
        <v>56</v>
      </c>
      <c r="N270" s="9" t="s">
        <v>145</v>
      </c>
      <c r="O270" s="9">
        <v>7</v>
      </c>
      <c r="P270" s="9" t="s">
        <v>58</v>
      </c>
      <c r="Q270" s="9">
        <v>5860</v>
      </c>
      <c r="R270" s="9">
        <v>62.12</v>
      </c>
      <c r="S270" s="9"/>
      <c r="T270" s="9">
        <v>160</v>
      </c>
      <c r="U270" s="9">
        <v>9</v>
      </c>
      <c r="V270" s="9">
        <v>1</v>
      </c>
      <c r="W270" s="9">
        <v>1.5</v>
      </c>
      <c r="X270" s="9">
        <v>139.531</v>
      </c>
      <c r="Y270" s="9">
        <v>63.874811</v>
      </c>
      <c r="Z270" s="9">
        <v>1.5</v>
      </c>
      <c r="AA270" s="9">
        <v>256</v>
      </c>
      <c r="AB270" s="9">
        <v>256</v>
      </c>
      <c r="AC270" s="9" t="s">
        <v>1078</v>
      </c>
      <c r="AD270" s="9">
        <v>3</v>
      </c>
      <c r="AE270" s="9">
        <v>3.5</v>
      </c>
      <c r="AF270" s="9" t="s">
        <v>1079</v>
      </c>
      <c r="AG270" s="9"/>
      <c r="AH270" s="9" t="s">
        <v>77</v>
      </c>
      <c r="AI270" s="9">
        <v>100</v>
      </c>
      <c r="AJ270" s="9">
        <v>100</v>
      </c>
      <c r="AK270" s="9" t="s">
        <v>1080</v>
      </c>
      <c r="AL270" s="9">
        <v>6</v>
      </c>
      <c r="AM270" s="9"/>
      <c r="AN270" s="9" t="s">
        <v>149</v>
      </c>
      <c r="AO270" s="9" t="s">
        <v>1081</v>
      </c>
      <c r="AP270" s="9" t="s">
        <v>1082</v>
      </c>
      <c r="AQ270" s="9" t="s">
        <v>1083</v>
      </c>
      <c r="AR270" s="9"/>
      <c r="AS270" s="9" t="s">
        <v>68</v>
      </c>
      <c r="AT270" s="9" t="s">
        <v>69</v>
      </c>
      <c r="AU270" s="9"/>
      <c r="AV270" s="9">
        <v>39</v>
      </c>
    </row>
    <row r="271" spans="1:48">
      <c r="A271" s="9">
        <f t="shared" si="4"/>
        <v>270</v>
      </c>
      <c r="B271" s="9" t="s">
        <v>1074</v>
      </c>
      <c r="C271" s="9" t="s">
        <v>1084</v>
      </c>
      <c r="D271" s="9">
        <v>0</v>
      </c>
      <c r="E271" s="9">
        <v>0</v>
      </c>
      <c r="F271" s="9" t="s">
        <v>50</v>
      </c>
      <c r="G271" s="9" t="s">
        <v>1085</v>
      </c>
      <c r="H271" s="9"/>
      <c r="I271" s="9"/>
      <c r="J271" s="9" t="s">
        <v>53</v>
      </c>
      <c r="K271" s="9" t="s">
        <v>143</v>
      </c>
      <c r="L271" s="9" t="s">
        <v>1086</v>
      </c>
      <c r="M271" s="9" t="s">
        <v>56</v>
      </c>
      <c r="N271" s="9" t="s">
        <v>145</v>
      </c>
      <c r="O271" s="9">
        <v>4</v>
      </c>
      <c r="P271" s="9" t="s">
        <v>58</v>
      </c>
      <c r="Q271" s="9">
        <v>2602</v>
      </c>
      <c r="R271" s="9">
        <v>15.352</v>
      </c>
      <c r="S271" s="9"/>
      <c r="T271" s="9">
        <v>160</v>
      </c>
      <c r="U271" s="9">
        <v>6</v>
      </c>
      <c r="V271" s="9">
        <v>1</v>
      </c>
      <c r="W271" s="9">
        <v>1</v>
      </c>
      <c r="X271" s="9">
        <v>61.0547</v>
      </c>
      <c r="Y271" s="9">
        <v>63.874808</v>
      </c>
      <c r="Z271" s="9">
        <v>1.5</v>
      </c>
      <c r="AA271" s="9">
        <v>512</v>
      </c>
      <c r="AB271" s="9">
        <v>512</v>
      </c>
      <c r="AC271" s="9" t="s">
        <v>1087</v>
      </c>
      <c r="AD271" s="9">
        <v>4</v>
      </c>
      <c r="AE271" s="9">
        <v>4.5</v>
      </c>
      <c r="AF271" s="9" t="s">
        <v>88</v>
      </c>
      <c r="AG271" s="9"/>
      <c r="AH271" s="9" t="s">
        <v>61</v>
      </c>
      <c r="AI271" s="9">
        <v>100</v>
      </c>
      <c r="AJ271" s="9">
        <v>100</v>
      </c>
      <c r="AK271" s="9" t="s">
        <v>1088</v>
      </c>
      <c r="AL271" s="9">
        <v>9</v>
      </c>
      <c r="AM271" s="9"/>
      <c r="AN271" s="9" t="s">
        <v>149</v>
      </c>
      <c r="AO271" s="9" t="s">
        <v>1081</v>
      </c>
      <c r="AP271" s="9" t="s">
        <v>1082</v>
      </c>
      <c r="AQ271" s="9" t="s">
        <v>1083</v>
      </c>
      <c r="AR271" s="9"/>
      <c r="AS271" s="9" t="s">
        <v>68</v>
      </c>
      <c r="AT271" s="9" t="s">
        <v>69</v>
      </c>
      <c r="AU271" s="9"/>
      <c r="AV271" s="9">
        <v>25</v>
      </c>
    </row>
    <row r="272" spans="1:48">
      <c r="A272" s="9">
        <f t="shared" si="4"/>
        <v>271</v>
      </c>
      <c r="B272" s="9" t="s">
        <v>1074</v>
      </c>
      <c r="C272" s="9" t="s">
        <v>1089</v>
      </c>
      <c r="D272" s="9">
        <v>1</v>
      </c>
      <c r="E272" s="9">
        <v>1</v>
      </c>
      <c r="F272" s="9" t="s">
        <v>91</v>
      </c>
      <c r="G272" s="9" t="s">
        <v>1090</v>
      </c>
      <c r="H272" s="9"/>
      <c r="I272" s="9"/>
      <c r="J272" s="9" t="s">
        <v>53</v>
      </c>
      <c r="K272" s="9" t="s">
        <v>97</v>
      </c>
      <c r="L272" s="9" t="s">
        <v>1091</v>
      </c>
      <c r="M272" s="9" t="s">
        <v>56</v>
      </c>
      <c r="N272" s="9" t="s">
        <v>145</v>
      </c>
      <c r="O272" s="9">
        <v>3</v>
      </c>
      <c r="P272" s="9" t="s">
        <v>58</v>
      </c>
      <c r="Q272" s="9">
        <v>3183</v>
      </c>
      <c r="R272" s="9">
        <v>65.96</v>
      </c>
      <c r="S272" s="9"/>
      <c r="T272" s="9">
        <v>160</v>
      </c>
      <c r="U272" s="9">
        <v>8</v>
      </c>
      <c r="V272" s="9">
        <v>1</v>
      </c>
      <c r="W272" s="9">
        <v>1</v>
      </c>
      <c r="X272" s="9">
        <v>122.109</v>
      </c>
      <c r="Y272" s="9">
        <v>63.874805</v>
      </c>
      <c r="Z272" s="9">
        <v>1.5</v>
      </c>
      <c r="AA272" s="9">
        <v>256</v>
      </c>
      <c r="AB272" s="9">
        <v>256</v>
      </c>
      <c r="AC272" s="9" t="s">
        <v>1078</v>
      </c>
      <c r="AD272" s="9">
        <v>3</v>
      </c>
      <c r="AE272" s="9">
        <v>3.5</v>
      </c>
      <c r="AF272" s="9" t="s">
        <v>325</v>
      </c>
      <c r="AG272" s="9"/>
      <c r="AH272" s="9" t="s">
        <v>77</v>
      </c>
      <c r="AI272" s="9">
        <v>100</v>
      </c>
      <c r="AJ272" s="9">
        <v>100</v>
      </c>
      <c r="AK272" s="9" t="s">
        <v>1092</v>
      </c>
      <c r="AL272" s="9">
        <v>25</v>
      </c>
      <c r="AM272" s="9"/>
      <c r="AN272" s="9" t="s">
        <v>149</v>
      </c>
      <c r="AO272" s="9" t="s">
        <v>1081</v>
      </c>
      <c r="AP272" s="9" t="s">
        <v>1082</v>
      </c>
      <c r="AQ272" s="9" t="s">
        <v>1083</v>
      </c>
      <c r="AR272" s="9"/>
      <c r="AS272" s="9" t="s">
        <v>68</v>
      </c>
      <c r="AT272" s="9" t="s">
        <v>69</v>
      </c>
      <c r="AU272" s="9"/>
      <c r="AV272" s="9">
        <v>44</v>
      </c>
    </row>
    <row r="273" spans="1:48">
      <c r="A273" s="9">
        <f t="shared" si="4"/>
        <v>272</v>
      </c>
      <c r="B273" s="9" t="s">
        <v>1074</v>
      </c>
      <c r="C273" s="9" t="s">
        <v>1093</v>
      </c>
      <c r="D273" s="9">
        <v>0</v>
      </c>
      <c r="E273" s="9">
        <v>0</v>
      </c>
      <c r="F273" s="9" t="s">
        <v>72</v>
      </c>
      <c r="G273" s="9" t="s">
        <v>549</v>
      </c>
      <c r="H273" s="9"/>
      <c r="I273" s="9"/>
      <c r="J273" s="9" t="s">
        <v>53</v>
      </c>
      <c r="K273" s="9" t="s">
        <v>97</v>
      </c>
      <c r="L273" s="9" t="s">
        <v>1094</v>
      </c>
      <c r="M273" s="9" t="s">
        <v>56</v>
      </c>
      <c r="N273" s="9" t="s">
        <v>145</v>
      </c>
      <c r="O273" s="9">
        <v>6</v>
      </c>
      <c r="P273" s="9" t="s">
        <v>58</v>
      </c>
      <c r="Q273" s="9">
        <v>716</v>
      </c>
      <c r="R273" s="9">
        <v>14.496</v>
      </c>
      <c r="S273" s="9"/>
      <c r="T273" s="9">
        <v>160</v>
      </c>
      <c r="U273" s="9">
        <v>3</v>
      </c>
      <c r="V273" s="9">
        <v>1</v>
      </c>
      <c r="W273" s="9">
        <v>1</v>
      </c>
      <c r="X273" s="9">
        <v>61.0547</v>
      </c>
      <c r="Y273" s="9">
        <v>63.874808</v>
      </c>
      <c r="Z273" s="9">
        <v>1.5</v>
      </c>
      <c r="AA273" s="9">
        <v>512</v>
      </c>
      <c r="AB273" s="9">
        <v>512</v>
      </c>
      <c r="AC273" s="9" t="s">
        <v>1087</v>
      </c>
      <c r="AD273" s="9">
        <v>3</v>
      </c>
      <c r="AE273" s="9">
        <v>3.5</v>
      </c>
      <c r="AF273" s="9" t="s">
        <v>1095</v>
      </c>
      <c r="AG273" s="9"/>
      <c r="AH273" s="9" t="s">
        <v>77</v>
      </c>
      <c r="AI273" s="9">
        <v>100</v>
      </c>
      <c r="AJ273" s="9">
        <v>100</v>
      </c>
      <c r="AK273" s="9" t="s">
        <v>1080</v>
      </c>
      <c r="AL273" s="9">
        <v>17</v>
      </c>
      <c r="AM273" s="9"/>
      <c r="AN273" s="9" t="s">
        <v>149</v>
      </c>
      <c r="AO273" s="9" t="s">
        <v>1081</v>
      </c>
      <c r="AP273" s="9" t="s">
        <v>1082</v>
      </c>
      <c r="AQ273" s="9" t="s">
        <v>1083</v>
      </c>
      <c r="AR273" s="9"/>
      <c r="AS273" s="9" t="s">
        <v>68</v>
      </c>
      <c r="AT273" s="9" t="s">
        <v>69</v>
      </c>
      <c r="AU273" s="9"/>
      <c r="AV273" s="9">
        <v>39</v>
      </c>
    </row>
    <row r="274" spans="1:48">
      <c r="A274" s="9">
        <f t="shared" si="4"/>
        <v>273</v>
      </c>
      <c r="B274" s="9" t="s">
        <v>1074</v>
      </c>
      <c r="C274" s="9" t="s">
        <v>1096</v>
      </c>
      <c r="D274" s="9">
        <v>1</v>
      </c>
      <c r="E274" s="9">
        <v>1</v>
      </c>
      <c r="F274" s="9" t="s">
        <v>50</v>
      </c>
      <c r="G274" s="9" t="s">
        <v>1097</v>
      </c>
      <c r="H274" s="9"/>
      <c r="I274" s="9"/>
      <c r="J274" s="9" t="s">
        <v>53</v>
      </c>
      <c r="K274" s="9" t="s">
        <v>143</v>
      </c>
      <c r="L274" s="9" t="s">
        <v>1098</v>
      </c>
      <c r="M274" s="9" t="s">
        <v>56</v>
      </c>
      <c r="N274" s="9" t="s">
        <v>145</v>
      </c>
      <c r="O274" s="9">
        <v>5</v>
      </c>
      <c r="P274" s="9" t="s">
        <v>58</v>
      </c>
      <c r="Q274" s="9">
        <v>2000</v>
      </c>
      <c r="R274" s="9">
        <v>64.88</v>
      </c>
      <c r="S274" s="9"/>
      <c r="T274" s="9">
        <v>160</v>
      </c>
      <c r="U274" s="9">
        <v>8</v>
      </c>
      <c r="V274" s="9">
        <v>1</v>
      </c>
      <c r="W274" s="9">
        <v>1</v>
      </c>
      <c r="X274" s="9">
        <v>122.109</v>
      </c>
      <c r="Y274" s="9">
        <v>63.874811</v>
      </c>
      <c r="Z274" s="9">
        <v>1.5</v>
      </c>
      <c r="AA274" s="9">
        <v>256</v>
      </c>
      <c r="AB274" s="9">
        <v>256</v>
      </c>
      <c r="AC274" s="9" t="s">
        <v>1078</v>
      </c>
      <c r="AD274" s="9">
        <v>4</v>
      </c>
      <c r="AE274" s="9">
        <v>4.5</v>
      </c>
      <c r="AF274" s="9" t="s">
        <v>147</v>
      </c>
      <c r="AG274" s="9"/>
      <c r="AH274" s="9" t="s">
        <v>61</v>
      </c>
      <c r="AI274" s="9">
        <v>100</v>
      </c>
      <c r="AJ274" s="9">
        <v>100</v>
      </c>
      <c r="AK274" s="9" t="s">
        <v>1088</v>
      </c>
      <c r="AL274" s="9">
        <v>15</v>
      </c>
      <c r="AM274" s="9"/>
      <c r="AN274" s="9" t="s">
        <v>149</v>
      </c>
      <c r="AO274" s="9" t="s">
        <v>1081</v>
      </c>
      <c r="AP274" s="9" t="s">
        <v>1082</v>
      </c>
      <c r="AQ274" s="9" t="s">
        <v>1083</v>
      </c>
      <c r="AR274" s="9"/>
      <c r="AS274" s="9" t="s">
        <v>68</v>
      </c>
      <c r="AT274" s="9" t="s">
        <v>69</v>
      </c>
      <c r="AU274" s="9"/>
      <c r="AV274" s="9">
        <v>25</v>
      </c>
    </row>
    <row r="275" spans="1:48">
      <c r="A275" s="9">
        <f t="shared" si="4"/>
        <v>274</v>
      </c>
      <c r="B275" s="9" t="s">
        <v>1099</v>
      </c>
      <c r="C275" s="9" t="s">
        <v>1100</v>
      </c>
      <c r="D275" s="9">
        <v>0</v>
      </c>
      <c r="E275" s="9">
        <v>0</v>
      </c>
      <c r="F275" s="9" t="s">
        <v>50</v>
      </c>
      <c r="G275" s="9" t="s">
        <v>197</v>
      </c>
      <c r="H275" s="9"/>
      <c r="I275" s="9"/>
      <c r="J275" s="9"/>
      <c r="K275" s="9"/>
      <c r="L275" s="9"/>
      <c r="M275" s="9"/>
      <c r="N275" s="9" t="s">
        <v>145</v>
      </c>
      <c r="O275" s="9">
        <v>6</v>
      </c>
      <c r="P275" s="9" t="s">
        <v>58</v>
      </c>
      <c r="Q275" s="9"/>
      <c r="R275" s="9"/>
      <c r="S275" s="9"/>
      <c r="T275" s="9"/>
      <c r="U275" s="9"/>
      <c r="V275" s="9"/>
      <c r="W275" s="9"/>
      <c r="X275" s="9"/>
      <c r="Y275" s="9"/>
      <c r="Z275" s="9"/>
      <c r="AA275" s="9">
        <v>512</v>
      </c>
      <c r="AB275" s="9">
        <v>512</v>
      </c>
      <c r="AC275" s="9" t="s">
        <v>716</v>
      </c>
      <c r="AD275" s="9">
        <v>4</v>
      </c>
      <c r="AE275" s="9"/>
      <c r="AF275" s="9"/>
      <c r="AG275" s="9"/>
      <c r="AH275" s="9"/>
      <c r="AI275" s="9"/>
      <c r="AJ275" s="9"/>
      <c r="AK275" s="9" t="s">
        <v>1101</v>
      </c>
      <c r="AL275" s="9">
        <v>4</v>
      </c>
      <c r="AM275" s="9"/>
      <c r="AN275" s="9" t="s">
        <v>149</v>
      </c>
      <c r="AO275" s="9" t="s">
        <v>150</v>
      </c>
      <c r="AP275" s="9"/>
      <c r="AQ275" s="9"/>
      <c r="AR275" s="9"/>
      <c r="AS275" s="9"/>
      <c r="AT275" s="9"/>
      <c r="AU275" s="9"/>
      <c r="AV275" s="9">
        <v>19</v>
      </c>
    </row>
    <row r="276" spans="1:48">
      <c r="A276" s="9">
        <f t="shared" si="4"/>
        <v>275</v>
      </c>
      <c r="B276" s="9" t="s">
        <v>1099</v>
      </c>
      <c r="C276" s="9" t="s">
        <v>1102</v>
      </c>
      <c r="D276" s="9">
        <v>1</v>
      </c>
      <c r="E276" s="9">
        <v>1</v>
      </c>
      <c r="F276" s="9" t="s">
        <v>50</v>
      </c>
      <c r="G276" s="9" t="s">
        <v>200</v>
      </c>
      <c r="H276" s="9"/>
      <c r="I276" s="9"/>
      <c r="J276" s="9"/>
      <c r="K276" s="9"/>
      <c r="L276" s="9"/>
      <c r="M276" s="9"/>
      <c r="N276" s="9" t="s">
        <v>145</v>
      </c>
      <c r="O276" s="9">
        <v>4</v>
      </c>
      <c r="P276" s="9" t="s">
        <v>58</v>
      </c>
      <c r="Q276" s="9"/>
      <c r="R276" s="9"/>
      <c r="S276" s="9"/>
      <c r="T276" s="9"/>
      <c r="U276" s="9"/>
      <c r="V276" s="9"/>
      <c r="W276" s="9"/>
      <c r="X276" s="9"/>
      <c r="Y276" s="9"/>
      <c r="Z276" s="9"/>
      <c r="AA276" s="9">
        <v>512</v>
      </c>
      <c r="AB276" s="9">
        <v>512</v>
      </c>
      <c r="AC276" s="9" t="s">
        <v>716</v>
      </c>
      <c r="AD276" s="9">
        <v>4</v>
      </c>
      <c r="AE276" s="9"/>
      <c r="AF276" s="9"/>
      <c r="AG276" s="9"/>
      <c r="AH276" s="9"/>
      <c r="AI276" s="9"/>
      <c r="AJ276" s="9"/>
      <c r="AK276" s="9" t="s">
        <v>1103</v>
      </c>
      <c r="AL276" s="9">
        <v>7</v>
      </c>
      <c r="AM276" s="9"/>
      <c r="AN276" s="9" t="s">
        <v>149</v>
      </c>
      <c r="AO276" s="9" t="s">
        <v>150</v>
      </c>
      <c r="AP276" s="9"/>
      <c r="AQ276" s="9"/>
      <c r="AR276" s="9"/>
      <c r="AS276" s="9"/>
      <c r="AT276" s="9"/>
      <c r="AU276" s="9"/>
      <c r="AV276" s="9">
        <v>19</v>
      </c>
    </row>
    <row r="277" spans="1:48">
      <c r="A277" s="9">
        <f t="shared" si="4"/>
        <v>276</v>
      </c>
      <c r="B277" s="9" t="s">
        <v>1099</v>
      </c>
      <c r="C277" s="9" t="s">
        <v>1104</v>
      </c>
      <c r="D277" s="9">
        <v>1</v>
      </c>
      <c r="E277" s="9">
        <v>1</v>
      </c>
      <c r="F277" s="9" t="s">
        <v>50</v>
      </c>
      <c r="G277" s="9" t="s">
        <v>185</v>
      </c>
      <c r="H277" s="9"/>
      <c r="I277" s="9"/>
      <c r="J277" s="9"/>
      <c r="K277" s="9"/>
      <c r="L277" s="9"/>
      <c r="M277" s="9"/>
      <c r="N277" s="9" t="s">
        <v>145</v>
      </c>
      <c r="O277" s="9">
        <v>5</v>
      </c>
      <c r="P277" s="9" t="s">
        <v>58</v>
      </c>
      <c r="Q277" s="9"/>
      <c r="R277" s="9"/>
      <c r="S277" s="9"/>
      <c r="T277" s="9"/>
      <c r="U277" s="9"/>
      <c r="V277" s="9"/>
      <c r="W277" s="9"/>
      <c r="X277" s="9"/>
      <c r="Y277" s="9"/>
      <c r="Z277" s="9"/>
      <c r="AA277" s="9">
        <v>512</v>
      </c>
      <c r="AB277" s="9">
        <v>512</v>
      </c>
      <c r="AC277" s="9" t="s">
        <v>716</v>
      </c>
      <c r="AD277" s="9">
        <v>4</v>
      </c>
      <c r="AE277" s="9"/>
      <c r="AF277" s="9"/>
      <c r="AG277" s="9"/>
      <c r="AH277" s="9"/>
      <c r="AI277" s="9"/>
      <c r="AJ277" s="9"/>
      <c r="AK277" s="9" t="s">
        <v>1105</v>
      </c>
      <c r="AL277" s="9">
        <v>7</v>
      </c>
      <c r="AM277" s="9"/>
      <c r="AN277" s="9" t="s">
        <v>149</v>
      </c>
      <c r="AO277" s="9" t="s">
        <v>150</v>
      </c>
      <c r="AP277" s="9"/>
      <c r="AQ277" s="9"/>
      <c r="AR277" s="9"/>
      <c r="AS277" s="9"/>
      <c r="AT277" s="9"/>
      <c r="AU277" s="9"/>
      <c r="AV277" s="9">
        <v>19</v>
      </c>
    </row>
    <row r="278" spans="1:48">
      <c r="A278" s="9">
        <f t="shared" si="4"/>
        <v>277</v>
      </c>
      <c r="B278" s="9" t="s">
        <v>1099</v>
      </c>
      <c r="C278" s="9" t="s">
        <v>1106</v>
      </c>
      <c r="D278" s="9">
        <v>1</v>
      </c>
      <c r="E278" s="9">
        <v>1</v>
      </c>
      <c r="F278" s="9" t="s">
        <v>72</v>
      </c>
      <c r="G278" s="9" t="s">
        <v>516</v>
      </c>
      <c r="H278" s="9"/>
      <c r="I278" s="9"/>
      <c r="J278" s="9"/>
      <c r="K278" s="9"/>
      <c r="L278" s="9"/>
      <c r="M278" s="9"/>
      <c r="N278" s="9" t="s">
        <v>145</v>
      </c>
      <c r="O278" s="9">
        <v>7</v>
      </c>
      <c r="P278" s="9" t="s">
        <v>58</v>
      </c>
      <c r="Q278" s="9"/>
      <c r="R278" s="9"/>
      <c r="S278" s="9"/>
      <c r="T278" s="9"/>
      <c r="U278" s="9"/>
      <c r="V278" s="9"/>
      <c r="W278" s="9"/>
      <c r="X278" s="9"/>
      <c r="Y278" s="9"/>
      <c r="Z278" s="9"/>
      <c r="AA278" s="9">
        <v>512</v>
      </c>
      <c r="AB278" s="9">
        <v>512</v>
      </c>
      <c r="AC278" s="9" t="s">
        <v>716</v>
      </c>
      <c r="AD278" s="9">
        <v>4</v>
      </c>
      <c r="AE278" s="9"/>
      <c r="AF278" s="9"/>
      <c r="AG278" s="9"/>
      <c r="AH278" s="9"/>
      <c r="AI278" s="9"/>
      <c r="AJ278" s="9"/>
      <c r="AK278" s="9" t="s">
        <v>1107</v>
      </c>
      <c r="AL278" s="9">
        <v>15</v>
      </c>
      <c r="AM278" s="9"/>
      <c r="AN278" s="9" t="s">
        <v>149</v>
      </c>
      <c r="AO278" s="9" t="s">
        <v>150</v>
      </c>
      <c r="AP278" s="9"/>
      <c r="AQ278" s="9"/>
      <c r="AR278" s="9"/>
      <c r="AS278" s="9"/>
      <c r="AT278" s="9"/>
      <c r="AU278" s="9"/>
      <c r="AV278" s="9">
        <v>22</v>
      </c>
    </row>
    <row r="279" spans="1:48">
      <c r="A279" s="9">
        <f t="shared" si="4"/>
        <v>278</v>
      </c>
      <c r="B279" s="9" t="s">
        <v>1099</v>
      </c>
      <c r="C279" s="9" t="s">
        <v>1108</v>
      </c>
      <c r="D279" s="9">
        <v>1</v>
      </c>
      <c r="E279" s="9">
        <v>1</v>
      </c>
      <c r="F279" s="9" t="s">
        <v>91</v>
      </c>
      <c r="G279" s="9" t="s">
        <v>789</v>
      </c>
      <c r="H279" s="9"/>
      <c r="I279" s="9"/>
      <c r="J279" s="9"/>
      <c r="K279" s="9"/>
      <c r="L279" s="9"/>
      <c r="M279" s="9"/>
      <c r="N279" s="9" t="s">
        <v>145</v>
      </c>
      <c r="O279" s="9">
        <v>8</v>
      </c>
      <c r="P279" s="9" t="s">
        <v>58</v>
      </c>
      <c r="Q279" s="9"/>
      <c r="R279" s="9"/>
      <c r="S279" s="9"/>
      <c r="T279" s="9"/>
      <c r="U279" s="9"/>
      <c r="V279" s="9"/>
      <c r="W279" s="9"/>
      <c r="X279" s="9"/>
      <c r="Y279" s="9"/>
      <c r="Z279" s="9"/>
      <c r="AA279" s="9">
        <v>512</v>
      </c>
      <c r="AB279" s="9">
        <v>512</v>
      </c>
      <c r="AC279" s="9" t="s">
        <v>507</v>
      </c>
      <c r="AD279" s="9">
        <v>4</v>
      </c>
      <c r="AE279" s="9"/>
      <c r="AF279" s="9"/>
      <c r="AG279" s="9"/>
      <c r="AH279" s="9"/>
      <c r="AI279" s="9"/>
      <c r="AJ279" s="9"/>
      <c r="AK279" s="9" t="s">
        <v>1109</v>
      </c>
      <c r="AL279" s="9">
        <v>16</v>
      </c>
      <c r="AM279" s="9"/>
      <c r="AN279" s="9" t="s">
        <v>149</v>
      </c>
      <c r="AO279" s="9" t="s">
        <v>150</v>
      </c>
      <c r="AP279" s="9"/>
      <c r="AQ279" s="9"/>
      <c r="AR279" s="9"/>
      <c r="AS279" s="9"/>
      <c r="AT279" s="9"/>
      <c r="AU279" s="9"/>
      <c r="AV279" s="9">
        <v>32</v>
      </c>
    </row>
    <row r="280" spans="1:48">
      <c r="A280" s="9">
        <f t="shared" si="4"/>
        <v>279</v>
      </c>
      <c r="B280" s="9" t="s">
        <v>1110</v>
      </c>
      <c r="C280" s="9" t="s">
        <v>1111</v>
      </c>
      <c r="D280" s="9">
        <v>0</v>
      </c>
      <c r="E280" s="9">
        <v>0</v>
      </c>
      <c r="F280" s="9" t="s">
        <v>91</v>
      </c>
      <c r="G280" s="9" t="s">
        <v>1112</v>
      </c>
      <c r="H280" s="9"/>
      <c r="I280" s="9" t="s">
        <v>1113</v>
      </c>
      <c r="J280" s="9" t="s">
        <v>53</v>
      </c>
      <c r="K280" s="9" t="s">
        <v>54</v>
      </c>
      <c r="L280" s="9" t="s">
        <v>55</v>
      </c>
      <c r="M280" s="9" t="s">
        <v>56</v>
      </c>
      <c r="N280" s="9" t="s">
        <v>524</v>
      </c>
      <c r="O280" s="9">
        <v>6</v>
      </c>
      <c r="P280" s="9" t="s">
        <v>58</v>
      </c>
      <c r="Q280" s="9">
        <v>3000</v>
      </c>
      <c r="R280" s="9">
        <v>46</v>
      </c>
      <c r="S280" s="9"/>
      <c r="T280" s="9">
        <v>180</v>
      </c>
      <c r="U280" s="9">
        <v>6</v>
      </c>
      <c r="V280" s="9">
        <v>1</v>
      </c>
      <c r="W280" s="9">
        <v>1</v>
      </c>
      <c r="X280" s="9">
        <v>189</v>
      </c>
      <c r="Y280" s="9">
        <v>63.679084</v>
      </c>
      <c r="Z280" s="9">
        <v>1.5</v>
      </c>
      <c r="AA280" s="9">
        <v>960</v>
      </c>
      <c r="AB280" s="9">
        <v>960</v>
      </c>
      <c r="AC280" s="9" t="s">
        <v>1114</v>
      </c>
      <c r="AD280" s="9">
        <v>3</v>
      </c>
      <c r="AE280" s="9">
        <v>3.3</v>
      </c>
      <c r="AF280" s="9" t="s">
        <v>1115</v>
      </c>
      <c r="AG280" s="9"/>
      <c r="AH280" s="9" t="s">
        <v>77</v>
      </c>
      <c r="AI280" s="9">
        <v>70</v>
      </c>
      <c r="AJ280" s="9">
        <v>100</v>
      </c>
      <c r="AK280" s="9" t="s">
        <v>1116</v>
      </c>
      <c r="AL280" s="9">
        <v>13</v>
      </c>
      <c r="AM280" s="9"/>
      <c r="AN280" s="9" t="s">
        <v>63</v>
      </c>
      <c r="AO280" s="9" t="s">
        <v>1117</v>
      </c>
      <c r="AP280" s="9" t="s">
        <v>1118</v>
      </c>
      <c r="AQ280" s="9" t="s">
        <v>274</v>
      </c>
      <c r="AR280" s="9" t="s">
        <v>274</v>
      </c>
      <c r="AS280" s="9" t="s">
        <v>68</v>
      </c>
      <c r="AT280" s="9" t="s">
        <v>69</v>
      </c>
      <c r="AU280" s="9" t="s">
        <v>214</v>
      </c>
      <c r="AV280" s="9">
        <v>32</v>
      </c>
    </row>
    <row r="281" spans="1:48">
      <c r="A281" s="9">
        <f t="shared" si="4"/>
        <v>280</v>
      </c>
      <c r="B281" s="9" t="s">
        <v>1110</v>
      </c>
      <c r="C281" s="9" t="s">
        <v>1119</v>
      </c>
      <c r="D281" s="9">
        <v>1</v>
      </c>
      <c r="E281" s="9">
        <v>1</v>
      </c>
      <c r="F281" s="9" t="s">
        <v>72</v>
      </c>
      <c r="G281" s="9" t="s">
        <v>1120</v>
      </c>
      <c r="H281" s="9"/>
      <c r="I281" s="9" t="s">
        <v>544</v>
      </c>
      <c r="J281" s="9" t="s">
        <v>53</v>
      </c>
      <c r="K281" s="9" t="s">
        <v>54</v>
      </c>
      <c r="L281" s="9" t="s">
        <v>343</v>
      </c>
      <c r="M281" s="9" t="s">
        <v>56</v>
      </c>
      <c r="N281" s="9" t="s">
        <v>524</v>
      </c>
      <c r="O281" s="9">
        <v>4</v>
      </c>
      <c r="P281" s="9" t="s">
        <v>58</v>
      </c>
      <c r="Q281" s="9">
        <v>3400</v>
      </c>
      <c r="R281" s="9">
        <v>42</v>
      </c>
      <c r="S281" s="9"/>
      <c r="T281" s="9">
        <v>150</v>
      </c>
      <c r="U281" s="9">
        <v>7</v>
      </c>
      <c r="V281" s="9">
        <v>1</v>
      </c>
      <c r="W281" s="9">
        <v>1</v>
      </c>
      <c r="X281" s="9">
        <v>191</v>
      </c>
      <c r="Y281" s="9">
        <v>63.679035</v>
      </c>
      <c r="Z281" s="9">
        <v>1.5</v>
      </c>
      <c r="AA281" s="9">
        <v>640</v>
      </c>
      <c r="AB281" s="9">
        <v>640</v>
      </c>
      <c r="AC281" s="9" t="s">
        <v>525</v>
      </c>
      <c r="AD281" s="9">
        <v>3</v>
      </c>
      <c r="AE281" s="9">
        <v>3.6</v>
      </c>
      <c r="AF281" s="9" t="s">
        <v>234</v>
      </c>
      <c r="AG281" s="9"/>
      <c r="AH281" s="9" t="s">
        <v>77</v>
      </c>
      <c r="AI281" s="9">
        <v>80</v>
      </c>
      <c r="AJ281" s="9">
        <v>100</v>
      </c>
      <c r="AK281" s="9" t="s">
        <v>1121</v>
      </c>
      <c r="AL281" s="9">
        <v>7</v>
      </c>
      <c r="AM281" s="9"/>
      <c r="AN281" s="9" t="s">
        <v>63</v>
      </c>
      <c r="AO281" s="9" t="s">
        <v>1117</v>
      </c>
      <c r="AP281" s="9" t="s">
        <v>1118</v>
      </c>
      <c r="AQ281" s="9" t="s">
        <v>274</v>
      </c>
      <c r="AR281" s="9" t="s">
        <v>274</v>
      </c>
      <c r="AS281" s="9" t="s">
        <v>68</v>
      </c>
      <c r="AT281" s="9" t="s">
        <v>69</v>
      </c>
      <c r="AU281" s="9" t="s">
        <v>214</v>
      </c>
      <c r="AV281" s="9">
        <v>32</v>
      </c>
    </row>
    <row r="282" spans="1:48">
      <c r="A282" s="9">
        <f t="shared" si="4"/>
        <v>281</v>
      </c>
      <c r="B282" s="9" t="s">
        <v>1110</v>
      </c>
      <c r="C282" s="9" t="s">
        <v>1122</v>
      </c>
      <c r="D282" s="9">
        <v>0</v>
      </c>
      <c r="E282" s="9">
        <v>0</v>
      </c>
      <c r="F282" s="9" t="s">
        <v>50</v>
      </c>
      <c r="G282" s="9" t="s">
        <v>1123</v>
      </c>
      <c r="H282" s="9"/>
      <c r="I282" s="9" t="s">
        <v>544</v>
      </c>
      <c r="J282" s="9" t="s">
        <v>53</v>
      </c>
      <c r="K282" s="9" t="s">
        <v>54</v>
      </c>
      <c r="L282" s="9" t="s">
        <v>356</v>
      </c>
      <c r="M282" s="9" t="s">
        <v>56</v>
      </c>
      <c r="N282" s="9" t="s">
        <v>524</v>
      </c>
      <c r="O282" s="9">
        <v>3</v>
      </c>
      <c r="P282" s="9" t="s">
        <v>58</v>
      </c>
      <c r="Q282" s="9">
        <v>3000</v>
      </c>
      <c r="R282" s="9">
        <v>8.8</v>
      </c>
      <c r="S282" s="9"/>
      <c r="T282" s="9">
        <v>180</v>
      </c>
      <c r="U282" s="9">
        <v>7</v>
      </c>
      <c r="V282" s="9">
        <v>1</v>
      </c>
      <c r="W282" s="9">
        <v>1</v>
      </c>
      <c r="X282" s="9">
        <v>199</v>
      </c>
      <c r="Y282" s="9">
        <v>63.679064</v>
      </c>
      <c r="Z282" s="9">
        <v>1.5</v>
      </c>
      <c r="AA282" s="9">
        <v>896</v>
      </c>
      <c r="AB282" s="9">
        <v>896</v>
      </c>
      <c r="AC282" s="9" t="s">
        <v>1124</v>
      </c>
      <c r="AD282" s="9">
        <v>3</v>
      </c>
      <c r="AE282" s="9">
        <v>3.3</v>
      </c>
      <c r="AF282" s="9" t="s">
        <v>1125</v>
      </c>
      <c r="AG282" s="9"/>
      <c r="AH282" s="9" t="s">
        <v>61</v>
      </c>
      <c r="AI282" s="9">
        <v>80</v>
      </c>
      <c r="AJ282" s="9">
        <v>100</v>
      </c>
      <c r="AK282" s="9" t="s">
        <v>1126</v>
      </c>
      <c r="AL282" s="9">
        <v>24</v>
      </c>
      <c r="AM282" s="9"/>
      <c r="AN282" s="9" t="s">
        <v>63</v>
      </c>
      <c r="AO282" s="9" t="s">
        <v>1117</v>
      </c>
      <c r="AP282" s="9" t="s">
        <v>1118</v>
      </c>
      <c r="AQ282" s="9" t="s">
        <v>274</v>
      </c>
      <c r="AR282" s="9" t="s">
        <v>274</v>
      </c>
      <c r="AS282" s="9" t="s">
        <v>68</v>
      </c>
      <c r="AT282" s="9" t="s">
        <v>69</v>
      </c>
      <c r="AU282" s="9" t="s">
        <v>214</v>
      </c>
      <c r="AV282" s="9">
        <v>30</v>
      </c>
    </row>
    <row r="283" spans="1:48">
      <c r="A283" s="9">
        <f t="shared" si="4"/>
        <v>282</v>
      </c>
      <c r="B283" s="9" t="s">
        <v>1110</v>
      </c>
      <c r="C283" s="9" t="s">
        <v>1127</v>
      </c>
      <c r="D283" s="9">
        <v>1</v>
      </c>
      <c r="E283" s="9">
        <v>1</v>
      </c>
      <c r="F283" s="9" t="s">
        <v>72</v>
      </c>
      <c r="G283" s="9" t="s">
        <v>1120</v>
      </c>
      <c r="H283" s="9"/>
      <c r="I283" s="9" t="s">
        <v>544</v>
      </c>
      <c r="J283" s="9" t="s">
        <v>53</v>
      </c>
      <c r="K283" s="9" t="s">
        <v>54</v>
      </c>
      <c r="L283" s="9" t="s">
        <v>343</v>
      </c>
      <c r="M283" s="9" t="s">
        <v>56</v>
      </c>
      <c r="N283" s="9" t="s">
        <v>524</v>
      </c>
      <c r="O283" s="9">
        <v>7</v>
      </c>
      <c r="P283" s="9" t="s">
        <v>58</v>
      </c>
      <c r="Q283" s="9">
        <v>3900</v>
      </c>
      <c r="R283" s="9">
        <v>42</v>
      </c>
      <c r="S283" s="9"/>
      <c r="T283" s="9">
        <v>150</v>
      </c>
      <c r="U283" s="9">
        <v>7</v>
      </c>
      <c r="V283" s="9">
        <v>1</v>
      </c>
      <c r="W283" s="9">
        <v>1</v>
      </c>
      <c r="X283" s="9">
        <v>191</v>
      </c>
      <c r="Y283" s="9">
        <v>63.679075</v>
      </c>
      <c r="Z283" s="9">
        <v>1.5</v>
      </c>
      <c r="AA283" s="9">
        <v>640</v>
      </c>
      <c r="AB283" s="9">
        <v>640</v>
      </c>
      <c r="AC283" s="9" t="s">
        <v>525</v>
      </c>
      <c r="AD283" s="9">
        <v>3</v>
      </c>
      <c r="AE283" s="9">
        <v>3.6</v>
      </c>
      <c r="AF283" s="9" t="s">
        <v>234</v>
      </c>
      <c r="AG283" s="9"/>
      <c r="AH283" s="9" t="s">
        <v>77</v>
      </c>
      <c r="AI283" s="9">
        <v>80</v>
      </c>
      <c r="AJ283" s="9">
        <v>100</v>
      </c>
      <c r="AK283" s="9" t="s">
        <v>1121</v>
      </c>
      <c r="AL283" s="9">
        <v>17</v>
      </c>
      <c r="AM283" s="9"/>
      <c r="AN283" s="9" t="s">
        <v>63</v>
      </c>
      <c r="AO283" s="9" t="s">
        <v>1117</v>
      </c>
      <c r="AP283" s="9" t="s">
        <v>1118</v>
      </c>
      <c r="AQ283" s="9" t="s">
        <v>274</v>
      </c>
      <c r="AR283" s="9" t="s">
        <v>274</v>
      </c>
      <c r="AS283" s="9" t="s">
        <v>68</v>
      </c>
      <c r="AT283" s="9" t="s">
        <v>69</v>
      </c>
      <c r="AU283" s="9" t="s">
        <v>214</v>
      </c>
      <c r="AV283" s="9">
        <v>38</v>
      </c>
    </row>
    <row r="284" spans="1:48">
      <c r="A284" s="9">
        <f t="shared" si="4"/>
        <v>283</v>
      </c>
      <c r="B284" s="9" t="s">
        <v>1110</v>
      </c>
      <c r="C284" s="9" t="s">
        <v>1128</v>
      </c>
      <c r="D284" s="9">
        <v>1</v>
      </c>
      <c r="E284" s="9">
        <v>1</v>
      </c>
      <c r="F284" s="9" t="s">
        <v>91</v>
      </c>
      <c r="G284" s="9" t="s">
        <v>1129</v>
      </c>
      <c r="H284" s="9"/>
      <c r="I284" s="9" t="s">
        <v>1130</v>
      </c>
      <c r="J284" s="9" t="s">
        <v>437</v>
      </c>
      <c r="K284" s="9" t="s">
        <v>97</v>
      </c>
      <c r="L284" s="9" t="s">
        <v>55</v>
      </c>
      <c r="M284" s="9" t="s">
        <v>615</v>
      </c>
      <c r="N284" s="9" t="s">
        <v>57</v>
      </c>
      <c r="O284" s="9">
        <v>5</v>
      </c>
      <c r="P284" s="9" t="s">
        <v>58</v>
      </c>
      <c r="Q284" s="9">
        <v>17.29</v>
      </c>
      <c r="R284" s="9">
        <v>6.79</v>
      </c>
      <c r="S284" s="9"/>
      <c r="T284" s="9">
        <v>25</v>
      </c>
      <c r="U284" s="9">
        <v>2</v>
      </c>
      <c r="V284" s="9">
        <v>1</v>
      </c>
      <c r="W284" s="9">
        <v>1</v>
      </c>
      <c r="X284" s="9">
        <v>260</v>
      </c>
      <c r="Y284" s="9">
        <v>63.679019</v>
      </c>
      <c r="Z284" s="9">
        <v>1.5</v>
      </c>
      <c r="AA284" s="9">
        <v>640</v>
      </c>
      <c r="AB284" s="9">
        <v>1280</v>
      </c>
      <c r="AC284" s="9" t="s">
        <v>100</v>
      </c>
      <c r="AD284" s="9">
        <v>0.6</v>
      </c>
      <c r="AE284" s="9"/>
      <c r="AF284" s="9" t="s">
        <v>1131</v>
      </c>
      <c r="AG284" s="9"/>
      <c r="AH284" s="9" t="s">
        <v>77</v>
      </c>
      <c r="AI284" s="9">
        <v>60</v>
      </c>
      <c r="AJ284" s="9">
        <v>200</v>
      </c>
      <c r="AK284" s="9" t="s">
        <v>1132</v>
      </c>
      <c r="AL284" s="9">
        <v>133</v>
      </c>
      <c r="AM284" s="9"/>
      <c r="AN284" s="9" t="s">
        <v>63</v>
      </c>
      <c r="AO284" s="9" t="s">
        <v>1117</v>
      </c>
      <c r="AP284" s="9" t="s">
        <v>1118</v>
      </c>
      <c r="AQ284" s="9" t="s">
        <v>274</v>
      </c>
      <c r="AR284" s="9" t="s">
        <v>274</v>
      </c>
      <c r="AS284" s="9" t="s">
        <v>68</v>
      </c>
      <c r="AT284" s="9" t="s">
        <v>69</v>
      </c>
      <c r="AU284" s="9" t="s">
        <v>214</v>
      </c>
      <c r="AV284" s="9">
        <v>144</v>
      </c>
    </row>
    <row r="285" spans="1:48">
      <c r="A285" s="9">
        <f t="shared" si="4"/>
        <v>284</v>
      </c>
      <c r="B285" s="9" t="s">
        <v>1133</v>
      </c>
      <c r="C285" s="9" t="s">
        <v>1134</v>
      </c>
      <c r="D285" s="9">
        <v>0</v>
      </c>
      <c r="E285" s="9">
        <v>0</v>
      </c>
      <c r="F285" s="9" t="s">
        <v>50</v>
      </c>
      <c r="G285" s="9" t="s">
        <v>481</v>
      </c>
      <c r="H285" s="9"/>
      <c r="I285" s="9"/>
      <c r="J285" s="9" t="s">
        <v>53</v>
      </c>
      <c r="K285" s="9" t="s">
        <v>97</v>
      </c>
      <c r="L285" s="9" t="s">
        <v>98</v>
      </c>
      <c r="M285" s="9" t="s">
        <v>56</v>
      </c>
      <c r="N285" s="9" t="s">
        <v>99</v>
      </c>
      <c r="O285" s="9">
        <v>301</v>
      </c>
      <c r="P285" s="9" t="s">
        <v>58</v>
      </c>
      <c r="Q285" s="10">
        <v>2811.65698242187</v>
      </c>
      <c r="R285" s="9">
        <v>30</v>
      </c>
      <c r="S285" s="9"/>
      <c r="T285" s="9">
        <v>90</v>
      </c>
      <c r="U285" s="9">
        <v>10</v>
      </c>
      <c r="V285" s="9">
        <v>1</v>
      </c>
      <c r="W285" s="9">
        <v>1</v>
      </c>
      <c r="X285" s="9">
        <v>311</v>
      </c>
      <c r="Y285" s="9">
        <v>127.755166</v>
      </c>
      <c r="Z285" s="9">
        <v>3</v>
      </c>
      <c r="AA285" s="9">
        <v>400</v>
      </c>
      <c r="AB285" s="9">
        <v>400</v>
      </c>
      <c r="AC285" s="9" t="s">
        <v>482</v>
      </c>
      <c r="AD285" s="9">
        <v>3</v>
      </c>
      <c r="AE285" s="9">
        <v>3.3</v>
      </c>
      <c r="AF285" s="9" t="s">
        <v>1135</v>
      </c>
      <c r="AG285" s="9"/>
      <c r="AH285" s="9" t="s">
        <v>61</v>
      </c>
      <c r="AI285" s="10">
        <v>89.9199981689453</v>
      </c>
      <c r="AJ285" s="9">
        <v>100</v>
      </c>
      <c r="AK285" s="9" t="s">
        <v>1136</v>
      </c>
      <c r="AL285" s="9">
        <v>1</v>
      </c>
      <c r="AM285" s="9"/>
      <c r="AN285" s="9" t="s">
        <v>400</v>
      </c>
      <c r="AO285" s="9" t="s">
        <v>369</v>
      </c>
      <c r="AP285" s="9" t="s">
        <v>485</v>
      </c>
      <c r="AQ285" s="9" t="s">
        <v>486</v>
      </c>
      <c r="AR285" s="9"/>
      <c r="AS285" s="9" t="s">
        <v>68</v>
      </c>
      <c r="AT285" s="9" t="s">
        <v>69</v>
      </c>
      <c r="AU285" s="9"/>
      <c r="AV285" s="9">
        <v>29</v>
      </c>
    </row>
    <row r="286" spans="1:48">
      <c r="A286" s="9">
        <f t="shared" si="4"/>
        <v>285</v>
      </c>
      <c r="B286" s="9" t="s">
        <v>1133</v>
      </c>
      <c r="C286" s="9" t="s">
        <v>1137</v>
      </c>
      <c r="D286" s="9">
        <v>1</v>
      </c>
      <c r="E286" s="9">
        <v>1</v>
      </c>
      <c r="F286" s="9" t="s">
        <v>91</v>
      </c>
      <c r="G286" s="9" t="s">
        <v>501</v>
      </c>
      <c r="H286" s="9"/>
      <c r="I286" s="9"/>
      <c r="J286" s="9" t="s">
        <v>53</v>
      </c>
      <c r="K286" s="9" t="s">
        <v>97</v>
      </c>
      <c r="L286" s="9" t="s">
        <v>113</v>
      </c>
      <c r="M286" s="9" t="s">
        <v>56</v>
      </c>
      <c r="N286" s="9" t="s">
        <v>99</v>
      </c>
      <c r="O286" s="9">
        <v>601</v>
      </c>
      <c r="P286" s="9" t="s">
        <v>58</v>
      </c>
      <c r="Q286" s="10">
        <v>3661.53295898437</v>
      </c>
      <c r="R286" s="9">
        <v>30</v>
      </c>
      <c r="S286" s="9"/>
      <c r="T286" s="9">
        <v>90</v>
      </c>
      <c r="U286" s="9">
        <v>11</v>
      </c>
      <c r="V286" s="9">
        <v>1</v>
      </c>
      <c r="W286" s="9">
        <v>1</v>
      </c>
      <c r="X286" s="9">
        <v>239</v>
      </c>
      <c r="Y286" s="9">
        <v>127.755195</v>
      </c>
      <c r="Z286" s="9">
        <v>3</v>
      </c>
      <c r="AA286" s="9">
        <v>640</v>
      </c>
      <c r="AB286" s="9">
        <v>640</v>
      </c>
      <c r="AC286" s="9" t="s">
        <v>100</v>
      </c>
      <c r="AD286" s="9">
        <v>3</v>
      </c>
      <c r="AE286" s="9">
        <v>3.3</v>
      </c>
      <c r="AF286" s="9" t="s">
        <v>948</v>
      </c>
      <c r="AG286" s="9"/>
      <c r="AH286" s="9" t="s">
        <v>77</v>
      </c>
      <c r="AI286" s="10">
        <v>83.2904891967773</v>
      </c>
      <c r="AJ286" s="9">
        <v>100</v>
      </c>
      <c r="AK286" s="9" t="s">
        <v>1138</v>
      </c>
      <c r="AL286" s="9">
        <v>26</v>
      </c>
      <c r="AM286" s="9"/>
      <c r="AN286" s="9" t="s">
        <v>400</v>
      </c>
      <c r="AO286" s="9" t="s">
        <v>369</v>
      </c>
      <c r="AP286" s="9" t="s">
        <v>485</v>
      </c>
      <c r="AQ286" s="9" t="s">
        <v>486</v>
      </c>
      <c r="AR286" s="9"/>
      <c r="AS286" s="9" t="s">
        <v>68</v>
      </c>
      <c r="AT286" s="9" t="s">
        <v>69</v>
      </c>
      <c r="AU286" s="9"/>
      <c r="AV286" s="9">
        <v>36</v>
      </c>
    </row>
    <row r="287" spans="1:48">
      <c r="A287" s="9">
        <f t="shared" si="4"/>
        <v>286</v>
      </c>
      <c r="B287" s="9" t="s">
        <v>1133</v>
      </c>
      <c r="C287" s="9" t="s">
        <v>1139</v>
      </c>
      <c r="D287" s="9">
        <v>0</v>
      </c>
      <c r="E287" s="9">
        <v>0</v>
      </c>
      <c r="F287" s="9" t="s">
        <v>50</v>
      </c>
      <c r="G287" s="9" t="s">
        <v>481</v>
      </c>
      <c r="H287" s="9"/>
      <c r="I287" s="9"/>
      <c r="J287" s="9" t="s">
        <v>53</v>
      </c>
      <c r="K287" s="9" t="s">
        <v>97</v>
      </c>
      <c r="L287" s="9" t="s">
        <v>98</v>
      </c>
      <c r="M287" s="9" t="s">
        <v>56</v>
      </c>
      <c r="N287" s="9" t="s">
        <v>99</v>
      </c>
      <c r="O287" s="9">
        <v>701</v>
      </c>
      <c r="P287" s="9" t="s">
        <v>58</v>
      </c>
      <c r="Q287" s="10">
        <v>2500.00024414062</v>
      </c>
      <c r="R287" s="9">
        <v>30</v>
      </c>
      <c r="S287" s="9"/>
      <c r="T287" s="9">
        <v>90</v>
      </c>
      <c r="U287" s="9">
        <v>10</v>
      </c>
      <c r="V287" s="9">
        <v>1</v>
      </c>
      <c r="W287" s="9">
        <v>1</v>
      </c>
      <c r="X287" s="9">
        <v>311</v>
      </c>
      <c r="Y287" s="9">
        <v>127.755178</v>
      </c>
      <c r="Z287" s="9">
        <v>3</v>
      </c>
      <c r="AA287" s="9">
        <v>400</v>
      </c>
      <c r="AB287" s="9">
        <v>400</v>
      </c>
      <c r="AC287" s="9" t="s">
        <v>482</v>
      </c>
      <c r="AD287" s="9">
        <v>2</v>
      </c>
      <c r="AE287" s="9">
        <v>2.25</v>
      </c>
      <c r="AF287" s="9" t="s">
        <v>489</v>
      </c>
      <c r="AG287" s="9"/>
      <c r="AH287" s="9" t="s">
        <v>61</v>
      </c>
      <c r="AI287" s="10">
        <v>89.9199981689453</v>
      </c>
      <c r="AJ287" s="9">
        <v>100</v>
      </c>
      <c r="AK287" s="9" t="s">
        <v>1140</v>
      </c>
      <c r="AL287" s="9">
        <v>9</v>
      </c>
      <c r="AM287" s="9"/>
      <c r="AN287" s="9" t="s">
        <v>400</v>
      </c>
      <c r="AO287" s="9" t="s">
        <v>369</v>
      </c>
      <c r="AP287" s="9" t="s">
        <v>485</v>
      </c>
      <c r="AQ287" s="9" t="s">
        <v>486</v>
      </c>
      <c r="AR287" s="9"/>
      <c r="AS287" s="9" t="s">
        <v>68</v>
      </c>
      <c r="AT287" s="9" t="s">
        <v>69</v>
      </c>
      <c r="AU287" s="9"/>
      <c r="AV287" s="9">
        <v>11</v>
      </c>
    </row>
    <row r="288" spans="1:48">
      <c r="A288" s="9">
        <f t="shared" si="4"/>
        <v>287</v>
      </c>
      <c r="B288" s="9" t="s">
        <v>1133</v>
      </c>
      <c r="C288" s="9" t="s">
        <v>1141</v>
      </c>
      <c r="D288" s="9">
        <v>0</v>
      </c>
      <c r="E288" s="9">
        <v>0</v>
      </c>
      <c r="F288" s="9" t="s">
        <v>72</v>
      </c>
      <c r="G288" s="9" t="s">
        <v>492</v>
      </c>
      <c r="H288" s="9"/>
      <c r="I288" s="9"/>
      <c r="J288" s="9" t="s">
        <v>53</v>
      </c>
      <c r="K288" s="9" t="s">
        <v>97</v>
      </c>
      <c r="L288" s="9" t="s">
        <v>98</v>
      </c>
      <c r="M288" s="9" t="s">
        <v>56</v>
      </c>
      <c r="N288" s="9" t="s">
        <v>99</v>
      </c>
      <c r="O288" s="9">
        <v>501</v>
      </c>
      <c r="P288" s="9" t="s">
        <v>58</v>
      </c>
      <c r="Q288" s="10">
        <v>664.940979003906</v>
      </c>
      <c r="R288" s="9">
        <v>10</v>
      </c>
      <c r="S288" s="9"/>
      <c r="T288" s="9">
        <v>90</v>
      </c>
      <c r="U288" s="9">
        <v>3</v>
      </c>
      <c r="V288" s="9">
        <v>1</v>
      </c>
      <c r="W288" s="9">
        <v>1</v>
      </c>
      <c r="X288" s="9">
        <v>362</v>
      </c>
      <c r="Y288" s="9">
        <v>127.755174</v>
      </c>
      <c r="Z288" s="9">
        <v>3</v>
      </c>
      <c r="AA288" s="9">
        <v>704</v>
      </c>
      <c r="AB288" s="9">
        <v>704</v>
      </c>
      <c r="AC288" s="9" t="s">
        <v>109</v>
      </c>
      <c r="AD288" s="9">
        <v>3</v>
      </c>
      <c r="AE288" s="9">
        <v>3.3</v>
      </c>
      <c r="AF288" s="9" t="s">
        <v>110</v>
      </c>
      <c r="AG288" s="9"/>
      <c r="AH288" s="9" t="s">
        <v>77</v>
      </c>
      <c r="AI288" s="9">
        <v>88.1748046875</v>
      </c>
      <c r="AJ288" s="9">
        <v>100</v>
      </c>
      <c r="AK288" s="9" t="s">
        <v>1142</v>
      </c>
      <c r="AL288" s="9">
        <v>6</v>
      </c>
      <c r="AM288" s="9"/>
      <c r="AN288" s="9" t="s">
        <v>400</v>
      </c>
      <c r="AO288" s="9" t="s">
        <v>369</v>
      </c>
      <c r="AP288" s="9" t="s">
        <v>485</v>
      </c>
      <c r="AQ288" s="9" t="s">
        <v>486</v>
      </c>
      <c r="AR288" s="9"/>
      <c r="AS288" s="9" t="s">
        <v>68</v>
      </c>
      <c r="AT288" s="9" t="s">
        <v>69</v>
      </c>
      <c r="AU288" s="9"/>
      <c r="AV288" s="9">
        <v>30</v>
      </c>
    </row>
    <row r="289" spans="1:48">
      <c r="A289" s="9">
        <f t="shared" si="4"/>
        <v>288</v>
      </c>
      <c r="B289" s="9" t="s">
        <v>1133</v>
      </c>
      <c r="C289" s="9" t="s">
        <v>1143</v>
      </c>
      <c r="D289" s="9">
        <v>1</v>
      </c>
      <c r="E289" s="9">
        <v>1</v>
      </c>
      <c r="F289" s="9" t="s">
        <v>50</v>
      </c>
      <c r="G289" s="9" t="s">
        <v>498</v>
      </c>
      <c r="H289" s="9"/>
      <c r="I289" s="9"/>
      <c r="J289" s="9" t="s">
        <v>53</v>
      </c>
      <c r="K289" s="9" t="s">
        <v>97</v>
      </c>
      <c r="L289" s="9" t="s">
        <v>113</v>
      </c>
      <c r="M289" s="9" t="s">
        <v>56</v>
      </c>
      <c r="N289" s="9" t="s">
        <v>99</v>
      </c>
      <c r="O289" s="9">
        <v>201</v>
      </c>
      <c r="P289" s="9" t="s">
        <v>58</v>
      </c>
      <c r="Q289" s="10">
        <v>3399.78588867187</v>
      </c>
      <c r="R289" s="9">
        <v>30</v>
      </c>
      <c r="S289" s="9"/>
      <c r="T289" s="9">
        <v>90</v>
      </c>
      <c r="U289" s="9">
        <v>11</v>
      </c>
      <c r="V289" s="9">
        <v>1</v>
      </c>
      <c r="W289" s="9">
        <v>1</v>
      </c>
      <c r="X289" s="9">
        <v>195</v>
      </c>
      <c r="Y289" s="9">
        <v>127.75518</v>
      </c>
      <c r="Z289" s="9">
        <v>3</v>
      </c>
      <c r="AA289" s="9">
        <v>704</v>
      </c>
      <c r="AB289" s="9">
        <v>704</v>
      </c>
      <c r="AC289" s="9" t="s">
        <v>109</v>
      </c>
      <c r="AD289" s="9">
        <v>3</v>
      </c>
      <c r="AE289" s="9">
        <v>3.3</v>
      </c>
      <c r="AF289" s="9" t="s">
        <v>1144</v>
      </c>
      <c r="AG289" s="9"/>
      <c r="AH289" s="9" t="s">
        <v>61</v>
      </c>
      <c r="AI289" s="10">
        <v>80.9764328002929</v>
      </c>
      <c r="AJ289" s="9">
        <v>100</v>
      </c>
      <c r="AK289" s="9" t="s">
        <v>1136</v>
      </c>
      <c r="AL289" s="9">
        <v>9</v>
      </c>
      <c r="AM289" s="9"/>
      <c r="AN289" s="9" t="s">
        <v>400</v>
      </c>
      <c r="AO289" s="9" t="s">
        <v>369</v>
      </c>
      <c r="AP289" s="9" t="s">
        <v>485</v>
      </c>
      <c r="AQ289" s="9" t="s">
        <v>486</v>
      </c>
      <c r="AR289" s="9"/>
      <c r="AS289" s="9" t="s">
        <v>68</v>
      </c>
      <c r="AT289" s="9" t="s">
        <v>69</v>
      </c>
      <c r="AU289" s="9"/>
      <c r="AV289" s="9">
        <v>29</v>
      </c>
    </row>
    <row r="290" spans="1:48">
      <c r="A290" s="9">
        <f t="shared" si="4"/>
        <v>289</v>
      </c>
      <c r="B290" s="9" t="s">
        <v>1133</v>
      </c>
      <c r="C290" s="9" t="s">
        <v>1145</v>
      </c>
      <c r="D290" s="9">
        <v>1</v>
      </c>
      <c r="E290" s="9">
        <v>1</v>
      </c>
      <c r="F290" s="9" t="s">
        <v>72</v>
      </c>
      <c r="G290" s="9" t="s">
        <v>495</v>
      </c>
      <c r="H290" s="9"/>
      <c r="I290" s="9"/>
      <c r="J290" s="9" t="s">
        <v>53</v>
      </c>
      <c r="K290" s="9" t="s">
        <v>97</v>
      </c>
      <c r="L290" s="9" t="s">
        <v>113</v>
      </c>
      <c r="M290" s="9" t="s">
        <v>56</v>
      </c>
      <c r="N290" s="9" t="s">
        <v>99</v>
      </c>
      <c r="O290" s="9">
        <v>401</v>
      </c>
      <c r="P290" s="9" t="s">
        <v>58</v>
      </c>
      <c r="Q290" s="10">
        <v>2590.88696289062</v>
      </c>
      <c r="R290" s="9">
        <v>30</v>
      </c>
      <c r="S290" s="9"/>
      <c r="T290" s="9">
        <v>90</v>
      </c>
      <c r="U290" s="9">
        <v>11</v>
      </c>
      <c r="V290" s="9">
        <v>1</v>
      </c>
      <c r="W290" s="9">
        <v>2</v>
      </c>
      <c r="X290" s="9">
        <v>303</v>
      </c>
      <c r="Y290" s="9">
        <v>127.755197</v>
      </c>
      <c r="Z290" s="9">
        <v>3</v>
      </c>
      <c r="AA290" s="9">
        <v>640</v>
      </c>
      <c r="AB290" s="9">
        <v>640</v>
      </c>
      <c r="AC290" s="9" t="s">
        <v>100</v>
      </c>
      <c r="AD290" s="9">
        <v>3</v>
      </c>
      <c r="AE290" s="9">
        <v>3.3</v>
      </c>
      <c r="AF290" s="9" t="s">
        <v>1146</v>
      </c>
      <c r="AG290" s="9"/>
      <c r="AH290" s="9" t="s">
        <v>77</v>
      </c>
      <c r="AI290" s="10">
        <v>86.6323928833007</v>
      </c>
      <c r="AJ290" s="9">
        <v>100</v>
      </c>
      <c r="AK290" s="9" t="s">
        <v>1142</v>
      </c>
      <c r="AL290" s="9">
        <v>27</v>
      </c>
      <c r="AM290" s="9"/>
      <c r="AN290" s="9" t="s">
        <v>400</v>
      </c>
      <c r="AO290" s="9" t="s">
        <v>369</v>
      </c>
      <c r="AP290" s="9" t="s">
        <v>485</v>
      </c>
      <c r="AQ290" s="9" t="s">
        <v>486</v>
      </c>
      <c r="AR290" s="9"/>
      <c r="AS290" s="9" t="s">
        <v>68</v>
      </c>
      <c r="AT290" s="9" t="s">
        <v>69</v>
      </c>
      <c r="AU290" s="9"/>
      <c r="AV290" s="9">
        <v>30</v>
      </c>
    </row>
    <row r="291" spans="1:48">
      <c r="A291" s="9">
        <f t="shared" si="4"/>
        <v>290</v>
      </c>
      <c r="B291" s="9" t="s">
        <v>1147</v>
      </c>
      <c r="C291" s="9" t="s">
        <v>1148</v>
      </c>
      <c r="D291" s="9">
        <v>0</v>
      </c>
      <c r="E291" s="9">
        <v>0</v>
      </c>
      <c r="F291" s="9" t="s">
        <v>91</v>
      </c>
      <c r="G291" s="9"/>
      <c r="H291" s="9"/>
      <c r="I291" s="9"/>
      <c r="J291" s="9" t="s">
        <v>53</v>
      </c>
      <c r="K291" s="9" t="s">
        <v>97</v>
      </c>
      <c r="L291" s="9" t="s">
        <v>706</v>
      </c>
      <c r="M291" s="9" t="s">
        <v>56</v>
      </c>
      <c r="N291" s="9" t="s">
        <v>145</v>
      </c>
      <c r="O291" s="9">
        <v>7</v>
      </c>
      <c r="P291" s="9" t="s">
        <v>58</v>
      </c>
      <c r="Q291" s="9">
        <v>540</v>
      </c>
      <c r="R291" s="9">
        <v>11.288</v>
      </c>
      <c r="S291" s="9">
        <v>0</v>
      </c>
      <c r="T291" s="9">
        <v>90</v>
      </c>
      <c r="U291" s="9">
        <v>3</v>
      </c>
      <c r="V291" s="9">
        <v>1</v>
      </c>
      <c r="W291" s="9">
        <v>1</v>
      </c>
      <c r="X291" s="9">
        <v>97.6562</v>
      </c>
      <c r="Y291" s="9">
        <v>63.84232</v>
      </c>
      <c r="Z291" s="9">
        <v>1.5</v>
      </c>
      <c r="AA291" s="9">
        <v>512</v>
      </c>
      <c r="AB291" s="9">
        <v>512</v>
      </c>
      <c r="AC291" s="9" t="s">
        <v>308</v>
      </c>
      <c r="AD291" s="9">
        <v>3.5</v>
      </c>
      <c r="AE291" s="9">
        <v>4.5</v>
      </c>
      <c r="AF291" s="9" t="s">
        <v>707</v>
      </c>
      <c r="AG291" s="9"/>
      <c r="AH291" s="9" t="s">
        <v>77</v>
      </c>
      <c r="AI291" s="9">
        <v>100</v>
      </c>
      <c r="AJ291" s="9">
        <v>100</v>
      </c>
      <c r="AK291" s="9" t="s">
        <v>1149</v>
      </c>
      <c r="AL291" s="9">
        <v>12</v>
      </c>
      <c r="AM291" s="9"/>
      <c r="AN291" s="9" t="s">
        <v>149</v>
      </c>
      <c r="AO291" s="9" t="s">
        <v>709</v>
      </c>
      <c r="AP291" s="9" t="s">
        <v>710</v>
      </c>
      <c r="AQ291" s="9" t="s">
        <v>711</v>
      </c>
      <c r="AR291" s="9"/>
      <c r="AS291" s="9"/>
      <c r="AT291" s="9" t="s">
        <v>69</v>
      </c>
      <c r="AU291" s="9"/>
      <c r="AV291" s="9">
        <v>28</v>
      </c>
    </row>
    <row r="292" spans="1:48">
      <c r="A292" s="9">
        <f t="shared" si="4"/>
        <v>291</v>
      </c>
      <c r="B292" s="9" t="s">
        <v>1147</v>
      </c>
      <c r="C292" s="9" t="s">
        <v>1150</v>
      </c>
      <c r="D292" s="9">
        <v>0</v>
      </c>
      <c r="E292" s="9">
        <v>0</v>
      </c>
      <c r="F292" s="9" t="s">
        <v>91</v>
      </c>
      <c r="G292" s="9"/>
      <c r="H292" s="9"/>
      <c r="I292" s="9"/>
      <c r="J292" s="9" t="s">
        <v>53</v>
      </c>
      <c r="K292" s="9" t="s">
        <v>97</v>
      </c>
      <c r="L292" s="9" t="s">
        <v>706</v>
      </c>
      <c r="M292" s="9" t="s">
        <v>56</v>
      </c>
      <c r="N292" s="9" t="s">
        <v>145</v>
      </c>
      <c r="O292" s="9">
        <v>8</v>
      </c>
      <c r="P292" s="9" t="s">
        <v>58</v>
      </c>
      <c r="Q292" s="9">
        <v>4700</v>
      </c>
      <c r="R292" s="9">
        <v>87.768</v>
      </c>
      <c r="S292" s="9">
        <v>0</v>
      </c>
      <c r="T292" s="9">
        <v>90</v>
      </c>
      <c r="U292" s="9">
        <v>16</v>
      </c>
      <c r="V292" s="9">
        <v>1</v>
      </c>
      <c r="W292" s="9">
        <v>2</v>
      </c>
      <c r="X292" s="9">
        <v>122.07</v>
      </c>
      <c r="Y292" s="9">
        <v>63.84232</v>
      </c>
      <c r="Z292" s="9">
        <v>1.5</v>
      </c>
      <c r="AA292" s="9">
        <v>512</v>
      </c>
      <c r="AB292" s="9">
        <v>512</v>
      </c>
      <c r="AC292" s="9" t="s">
        <v>308</v>
      </c>
      <c r="AD292" s="9">
        <v>3.5</v>
      </c>
      <c r="AE292" s="9">
        <v>4.5</v>
      </c>
      <c r="AF292" s="9" t="s">
        <v>707</v>
      </c>
      <c r="AG292" s="9"/>
      <c r="AH292" s="9" t="s">
        <v>77</v>
      </c>
      <c r="AI292" s="9">
        <v>100</v>
      </c>
      <c r="AJ292" s="9">
        <v>100</v>
      </c>
      <c r="AK292" s="9" t="s">
        <v>1149</v>
      </c>
      <c r="AL292" s="9">
        <v>15</v>
      </c>
      <c r="AM292" s="9"/>
      <c r="AN292" s="9" t="s">
        <v>149</v>
      </c>
      <c r="AO292" s="9" t="s">
        <v>709</v>
      </c>
      <c r="AP292" s="9" t="s">
        <v>710</v>
      </c>
      <c r="AQ292" s="9" t="s">
        <v>711</v>
      </c>
      <c r="AR292" s="9"/>
      <c r="AS292" s="9"/>
      <c r="AT292" s="9" t="s">
        <v>69</v>
      </c>
      <c r="AU292" s="9"/>
      <c r="AV292" s="9">
        <v>28</v>
      </c>
    </row>
    <row r="293" spans="1:48">
      <c r="A293" s="9">
        <f t="shared" si="4"/>
        <v>292</v>
      </c>
      <c r="B293" s="9" t="s">
        <v>1147</v>
      </c>
      <c r="C293" s="9" t="s">
        <v>1151</v>
      </c>
      <c r="D293" s="9">
        <v>0</v>
      </c>
      <c r="E293" s="9">
        <v>0</v>
      </c>
      <c r="F293" s="9" t="s">
        <v>50</v>
      </c>
      <c r="G293" s="9"/>
      <c r="H293" s="9"/>
      <c r="I293" s="9"/>
      <c r="J293" s="9" t="s">
        <v>53</v>
      </c>
      <c r="K293" s="9" t="s">
        <v>143</v>
      </c>
      <c r="L293" s="9" t="s">
        <v>713</v>
      </c>
      <c r="M293" s="9" t="s">
        <v>56</v>
      </c>
      <c r="N293" s="9" t="s">
        <v>145</v>
      </c>
      <c r="O293" s="9">
        <v>5</v>
      </c>
      <c r="P293" s="9" t="s">
        <v>58</v>
      </c>
      <c r="Q293" s="9">
        <v>4100</v>
      </c>
      <c r="R293" s="9">
        <v>86.688</v>
      </c>
      <c r="S293" s="9">
        <v>0</v>
      </c>
      <c r="T293" s="9">
        <v>90</v>
      </c>
      <c r="U293" s="9">
        <v>16</v>
      </c>
      <c r="V293" s="9">
        <v>1</v>
      </c>
      <c r="W293" s="9">
        <v>1</v>
      </c>
      <c r="X293" s="9">
        <v>122.07</v>
      </c>
      <c r="Y293" s="9">
        <v>63.84232</v>
      </c>
      <c r="Z293" s="9">
        <v>1.5</v>
      </c>
      <c r="AA293" s="9">
        <v>512</v>
      </c>
      <c r="AB293" s="9">
        <v>512</v>
      </c>
      <c r="AC293" s="9" t="s">
        <v>308</v>
      </c>
      <c r="AD293" s="9">
        <v>3</v>
      </c>
      <c r="AE293" s="9">
        <v>4</v>
      </c>
      <c r="AF293" s="9" t="s">
        <v>181</v>
      </c>
      <c r="AG293" s="9"/>
      <c r="AH293" s="9" t="s">
        <v>61</v>
      </c>
      <c r="AI293" s="9">
        <v>100</v>
      </c>
      <c r="AJ293" s="9">
        <v>100</v>
      </c>
      <c r="AK293" s="9" t="s">
        <v>1152</v>
      </c>
      <c r="AL293" s="9">
        <v>22</v>
      </c>
      <c r="AM293" s="9"/>
      <c r="AN293" s="9" t="s">
        <v>149</v>
      </c>
      <c r="AO293" s="9" t="s">
        <v>709</v>
      </c>
      <c r="AP293" s="9" t="s">
        <v>710</v>
      </c>
      <c r="AQ293" s="9" t="s">
        <v>711</v>
      </c>
      <c r="AR293" s="9"/>
      <c r="AS293" s="9"/>
      <c r="AT293" s="9" t="s">
        <v>69</v>
      </c>
      <c r="AU293" s="9"/>
      <c r="AV293" s="9">
        <v>24</v>
      </c>
    </row>
    <row r="294" spans="1:48">
      <c r="A294" s="9">
        <f t="shared" si="4"/>
        <v>293</v>
      </c>
      <c r="B294" s="9" t="s">
        <v>1147</v>
      </c>
      <c r="C294" s="9" t="s">
        <v>1153</v>
      </c>
      <c r="D294" s="9">
        <v>1</v>
      </c>
      <c r="E294" s="9">
        <v>1</v>
      </c>
      <c r="F294" s="9" t="s">
        <v>72</v>
      </c>
      <c r="G294" s="9"/>
      <c r="H294" s="9"/>
      <c r="I294" s="9"/>
      <c r="J294" s="9" t="s">
        <v>53</v>
      </c>
      <c r="K294" s="9" t="s">
        <v>97</v>
      </c>
      <c r="L294" s="9" t="s">
        <v>719</v>
      </c>
      <c r="M294" s="9" t="s">
        <v>56</v>
      </c>
      <c r="N294" s="9" t="s">
        <v>145</v>
      </c>
      <c r="O294" s="9">
        <v>3</v>
      </c>
      <c r="P294" s="9" t="s">
        <v>58</v>
      </c>
      <c r="Q294" s="9">
        <v>2340</v>
      </c>
      <c r="R294" s="9">
        <v>34.692</v>
      </c>
      <c r="S294" s="9">
        <v>0</v>
      </c>
      <c r="T294" s="9">
        <v>90</v>
      </c>
      <c r="U294" s="9">
        <v>6</v>
      </c>
      <c r="V294" s="9">
        <v>1</v>
      </c>
      <c r="W294" s="9">
        <v>2</v>
      </c>
      <c r="X294" s="9">
        <v>122.07</v>
      </c>
      <c r="Y294" s="9">
        <v>63.842301</v>
      </c>
      <c r="Z294" s="9">
        <v>1.5</v>
      </c>
      <c r="AA294" s="9">
        <v>512</v>
      </c>
      <c r="AB294" s="9">
        <v>512</v>
      </c>
      <c r="AC294" s="9" t="s">
        <v>308</v>
      </c>
      <c r="AD294" s="9">
        <v>3</v>
      </c>
      <c r="AE294" s="9">
        <v>4</v>
      </c>
      <c r="AF294" s="9" t="s">
        <v>707</v>
      </c>
      <c r="AG294" s="9"/>
      <c r="AH294" s="9" t="s">
        <v>77</v>
      </c>
      <c r="AI294" s="9">
        <v>100</v>
      </c>
      <c r="AJ294" s="9">
        <v>100</v>
      </c>
      <c r="AK294" s="9" t="s">
        <v>1154</v>
      </c>
      <c r="AL294" s="9">
        <v>5</v>
      </c>
      <c r="AM294" s="9"/>
      <c r="AN294" s="9" t="s">
        <v>149</v>
      </c>
      <c r="AO294" s="9" t="s">
        <v>709</v>
      </c>
      <c r="AP294" s="9" t="s">
        <v>710</v>
      </c>
      <c r="AQ294" s="9" t="s">
        <v>711</v>
      </c>
      <c r="AR294" s="9"/>
      <c r="AS294" s="9"/>
      <c r="AT294" s="9" t="s">
        <v>69</v>
      </c>
      <c r="AU294" s="9"/>
      <c r="AV294" s="9">
        <v>24</v>
      </c>
    </row>
    <row r="295" spans="1:48">
      <c r="A295" s="9">
        <f t="shared" si="4"/>
        <v>294</v>
      </c>
      <c r="B295" s="9" t="s">
        <v>1147</v>
      </c>
      <c r="C295" s="9" t="s">
        <v>1155</v>
      </c>
      <c r="D295" s="9">
        <v>1</v>
      </c>
      <c r="E295" s="9">
        <v>1</v>
      </c>
      <c r="F295" s="9" t="s">
        <v>50</v>
      </c>
      <c r="G295" s="9"/>
      <c r="H295" s="9"/>
      <c r="I295" s="9"/>
      <c r="J295" s="9" t="s">
        <v>53</v>
      </c>
      <c r="K295" s="9" t="s">
        <v>143</v>
      </c>
      <c r="L295" s="9" t="s">
        <v>721</v>
      </c>
      <c r="M295" s="9" t="s">
        <v>56</v>
      </c>
      <c r="N295" s="9" t="s">
        <v>145</v>
      </c>
      <c r="O295" s="9">
        <v>2</v>
      </c>
      <c r="P295" s="9" t="s">
        <v>58</v>
      </c>
      <c r="Q295" s="9">
        <v>2320</v>
      </c>
      <c r="R295" s="9">
        <v>34.188</v>
      </c>
      <c r="S295" s="9">
        <v>0</v>
      </c>
      <c r="T295" s="9">
        <v>90</v>
      </c>
      <c r="U295" s="9">
        <v>6</v>
      </c>
      <c r="V295" s="9">
        <v>1</v>
      </c>
      <c r="W295" s="9">
        <v>1</v>
      </c>
      <c r="X295" s="9">
        <v>122.07</v>
      </c>
      <c r="Y295" s="9">
        <v>63.842301</v>
      </c>
      <c r="Z295" s="9">
        <v>1.5</v>
      </c>
      <c r="AA295" s="9">
        <v>512</v>
      </c>
      <c r="AB295" s="9">
        <v>512</v>
      </c>
      <c r="AC295" s="9" t="s">
        <v>308</v>
      </c>
      <c r="AD295" s="9">
        <v>3</v>
      </c>
      <c r="AE295" s="9">
        <v>4</v>
      </c>
      <c r="AF295" s="9" t="s">
        <v>707</v>
      </c>
      <c r="AG295" s="9"/>
      <c r="AH295" s="9" t="s">
        <v>77</v>
      </c>
      <c r="AI295" s="9">
        <v>100</v>
      </c>
      <c r="AJ295" s="9">
        <v>100</v>
      </c>
      <c r="AK295" s="9" t="s">
        <v>1152</v>
      </c>
      <c r="AL295" s="9">
        <v>17</v>
      </c>
      <c r="AM295" s="9"/>
      <c r="AN295" s="9" t="s">
        <v>149</v>
      </c>
      <c r="AO295" s="9" t="s">
        <v>709</v>
      </c>
      <c r="AP295" s="9" t="s">
        <v>710</v>
      </c>
      <c r="AQ295" s="9" t="s">
        <v>711</v>
      </c>
      <c r="AR295" s="9"/>
      <c r="AS295" s="9"/>
      <c r="AT295" s="9" t="s">
        <v>69</v>
      </c>
      <c r="AU295" s="9"/>
      <c r="AV295" s="9">
        <v>24</v>
      </c>
    </row>
    <row r="296" spans="1:48">
      <c r="A296" s="9">
        <f t="shared" si="4"/>
        <v>295</v>
      </c>
      <c r="B296" s="9" t="s">
        <v>1147</v>
      </c>
      <c r="C296" s="9" t="s">
        <v>1156</v>
      </c>
      <c r="D296" s="9">
        <v>0</v>
      </c>
      <c r="E296" s="9">
        <v>0</v>
      </c>
      <c r="F296" s="9" t="s">
        <v>72</v>
      </c>
      <c r="G296" s="9"/>
      <c r="H296" s="9"/>
      <c r="I296" s="9"/>
      <c r="J296" s="9" t="s">
        <v>53</v>
      </c>
      <c r="K296" s="9" t="s">
        <v>97</v>
      </c>
      <c r="L296" s="9" t="s">
        <v>706</v>
      </c>
      <c r="M296" s="9" t="s">
        <v>56</v>
      </c>
      <c r="N296" s="9" t="s">
        <v>145</v>
      </c>
      <c r="O296" s="9">
        <v>6</v>
      </c>
      <c r="P296" s="9" t="s">
        <v>58</v>
      </c>
      <c r="Q296" s="9">
        <v>540</v>
      </c>
      <c r="R296" s="9">
        <v>11.448</v>
      </c>
      <c r="S296" s="9">
        <v>0</v>
      </c>
      <c r="T296" s="9">
        <v>90</v>
      </c>
      <c r="U296" s="9">
        <v>3</v>
      </c>
      <c r="V296" s="9">
        <v>1</v>
      </c>
      <c r="W296" s="9">
        <v>1</v>
      </c>
      <c r="X296" s="9">
        <v>97.6562</v>
      </c>
      <c r="Y296" s="9">
        <v>63.84232</v>
      </c>
      <c r="Z296" s="9">
        <v>1.5</v>
      </c>
      <c r="AA296" s="9">
        <v>512</v>
      </c>
      <c r="AB296" s="9">
        <v>512</v>
      </c>
      <c r="AC296" s="9" t="s">
        <v>308</v>
      </c>
      <c r="AD296" s="9">
        <v>3</v>
      </c>
      <c r="AE296" s="9">
        <v>4</v>
      </c>
      <c r="AF296" s="9" t="s">
        <v>707</v>
      </c>
      <c r="AG296" s="9"/>
      <c r="AH296" s="9" t="s">
        <v>77</v>
      </c>
      <c r="AI296" s="9">
        <v>100</v>
      </c>
      <c r="AJ296" s="9">
        <v>100</v>
      </c>
      <c r="AK296" s="9" t="s">
        <v>1154</v>
      </c>
      <c r="AL296" s="9">
        <v>14</v>
      </c>
      <c r="AM296" s="9"/>
      <c r="AN296" s="9" t="s">
        <v>149</v>
      </c>
      <c r="AO296" s="9" t="s">
        <v>709</v>
      </c>
      <c r="AP296" s="9" t="s">
        <v>710</v>
      </c>
      <c r="AQ296" s="9" t="s">
        <v>711</v>
      </c>
      <c r="AR296" s="9"/>
      <c r="AS296" s="9"/>
      <c r="AT296" s="9" t="s">
        <v>69</v>
      </c>
      <c r="AU296" s="9"/>
      <c r="AV296" s="9">
        <v>24</v>
      </c>
    </row>
    <row r="297" spans="1:48">
      <c r="A297" s="9">
        <f t="shared" si="4"/>
        <v>296</v>
      </c>
      <c r="B297" s="9" t="s">
        <v>1147</v>
      </c>
      <c r="C297" s="9" t="s">
        <v>1157</v>
      </c>
      <c r="D297" s="9">
        <v>1</v>
      </c>
      <c r="E297" s="9">
        <v>1</v>
      </c>
      <c r="F297" s="9" t="s">
        <v>91</v>
      </c>
      <c r="G297" s="9"/>
      <c r="H297" s="9"/>
      <c r="I297" s="9"/>
      <c r="J297" s="9" t="s">
        <v>53</v>
      </c>
      <c r="K297" s="9" t="s">
        <v>97</v>
      </c>
      <c r="L297" s="9" t="s">
        <v>719</v>
      </c>
      <c r="M297" s="9" t="s">
        <v>56</v>
      </c>
      <c r="N297" s="9" t="s">
        <v>145</v>
      </c>
      <c r="O297" s="9">
        <v>4</v>
      </c>
      <c r="P297" s="9" t="s">
        <v>58</v>
      </c>
      <c r="Q297" s="9">
        <v>2720</v>
      </c>
      <c r="R297" s="9">
        <v>34.132</v>
      </c>
      <c r="S297" s="9">
        <v>0</v>
      </c>
      <c r="T297" s="9">
        <v>90</v>
      </c>
      <c r="U297" s="9">
        <v>6</v>
      </c>
      <c r="V297" s="9">
        <v>1</v>
      </c>
      <c r="W297" s="9">
        <v>2</v>
      </c>
      <c r="X297" s="9">
        <v>122.07</v>
      </c>
      <c r="Y297" s="9">
        <v>63.84232</v>
      </c>
      <c r="Z297" s="9">
        <v>1.5</v>
      </c>
      <c r="AA297" s="9">
        <v>512</v>
      </c>
      <c r="AB297" s="9">
        <v>512</v>
      </c>
      <c r="AC297" s="9" t="s">
        <v>308</v>
      </c>
      <c r="AD297" s="9">
        <v>3.5</v>
      </c>
      <c r="AE297" s="9">
        <v>4.5</v>
      </c>
      <c r="AF297" s="9" t="s">
        <v>707</v>
      </c>
      <c r="AG297" s="9"/>
      <c r="AH297" s="9" t="s">
        <v>77</v>
      </c>
      <c r="AI297" s="9">
        <v>100</v>
      </c>
      <c r="AJ297" s="9">
        <v>100</v>
      </c>
      <c r="AK297" s="9" t="s">
        <v>1149</v>
      </c>
      <c r="AL297" s="9">
        <v>4</v>
      </c>
      <c r="AM297" s="9"/>
      <c r="AN297" s="9" t="s">
        <v>149</v>
      </c>
      <c r="AO297" s="9" t="s">
        <v>709</v>
      </c>
      <c r="AP297" s="9" t="s">
        <v>710</v>
      </c>
      <c r="AQ297" s="9" t="s">
        <v>711</v>
      </c>
      <c r="AR297" s="9"/>
      <c r="AS297" s="9"/>
      <c r="AT297" s="9" t="s">
        <v>69</v>
      </c>
      <c r="AU297" s="9"/>
      <c r="AV297" s="9">
        <v>28</v>
      </c>
    </row>
    <row r="298" spans="1:48">
      <c r="A298" s="9">
        <f t="shared" si="4"/>
        <v>297</v>
      </c>
      <c r="B298" s="9" t="s">
        <v>1158</v>
      </c>
      <c r="C298" s="9" t="s">
        <v>1159</v>
      </c>
      <c r="D298" s="9">
        <v>1</v>
      </c>
      <c r="E298" s="9">
        <v>1</v>
      </c>
      <c r="F298" s="9" t="s">
        <v>91</v>
      </c>
      <c r="G298" s="9" t="s">
        <v>276</v>
      </c>
      <c r="H298" s="9"/>
      <c r="I298" s="9" t="s">
        <v>802</v>
      </c>
      <c r="J298" s="9" t="s">
        <v>53</v>
      </c>
      <c r="K298" s="9" t="s">
        <v>54</v>
      </c>
      <c r="L298" s="9" t="s">
        <v>82</v>
      </c>
      <c r="M298" s="9" t="s">
        <v>56</v>
      </c>
      <c r="N298" s="9" t="s">
        <v>344</v>
      </c>
      <c r="O298" s="9">
        <v>13</v>
      </c>
      <c r="P298" s="9" t="s">
        <v>58</v>
      </c>
      <c r="Q298" s="9">
        <v>4340</v>
      </c>
      <c r="R298" s="9">
        <v>36</v>
      </c>
      <c r="S298" s="9"/>
      <c r="T298" s="9">
        <v>180</v>
      </c>
      <c r="U298" s="9">
        <v>7</v>
      </c>
      <c r="V298" s="9"/>
      <c r="W298" s="9">
        <v>1</v>
      </c>
      <c r="X298" s="9">
        <v>150</v>
      </c>
      <c r="Y298" s="9">
        <v>123.218948</v>
      </c>
      <c r="Z298" s="9">
        <v>3</v>
      </c>
      <c r="AA298" s="9">
        <v>320</v>
      </c>
      <c r="AB298" s="9">
        <v>300</v>
      </c>
      <c r="AC298" s="9" t="s">
        <v>819</v>
      </c>
      <c r="AD298" s="9">
        <v>3</v>
      </c>
      <c r="AE298" s="9">
        <v>3.3</v>
      </c>
      <c r="AF298" s="9" t="s">
        <v>820</v>
      </c>
      <c r="AG298" s="9"/>
      <c r="AH298" s="9" t="s">
        <v>77</v>
      </c>
      <c r="AI298" s="9">
        <v>70</v>
      </c>
      <c r="AJ298" s="9">
        <v>93.75</v>
      </c>
      <c r="AK298" s="9" t="s">
        <v>1160</v>
      </c>
      <c r="AL298" s="9">
        <v>9</v>
      </c>
      <c r="AM298" s="9">
        <v>1</v>
      </c>
      <c r="AN298" s="9" t="s">
        <v>63</v>
      </c>
      <c r="AO298" s="9" t="s">
        <v>527</v>
      </c>
      <c r="AP298" s="9" t="s">
        <v>65</v>
      </c>
      <c r="AQ298" s="9" t="s">
        <v>528</v>
      </c>
      <c r="AR298" s="9" t="s">
        <v>528</v>
      </c>
      <c r="AS298" s="9" t="s">
        <v>68</v>
      </c>
      <c r="AT298" s="9" t="s">
        <v>69</v>
      </c>
      <c r="AU298" s="9" t="s">
        <v>70</v>
      </c>
      <c r="AV298" s="9">
        <v>36</v>
      </c>
    </row>
    <row r="299" spans="1:48">
      <c r="A299" s="9">
        <f t="shared" si="4"/>
        <v>298</v>
      </c>
      <c r="B299" s="9" t="s">
        <v>1158</v>
      </c>
      <c r="C299" s="9" t="s">
        <v>1161</v>
      </c>
      <c r="D299" s="9">
        <v>0</v>
      </c>
      <c r="E299" s="9">
        <v>0</v>
      </c>
      <c r="F299" s="9" t="s">
        <v>50</v>
      </c>
      <c r="G299" s="9" t="s">
        <v>812</v>
      </c>
      <c r="H299" s="9"/>
      <c r="I299" s="9" t="s">
        <v>813</v>
      </c>
      <c r="J299" s="9" t="s">
        <v>53</v>
      </c>
      <c r="K299" s="9" t="s">
        <v>54</v>
      </c>
      <c r="L299" s="9" t="s">
        <v>55</v>
      </c>
      <c r="M299" s="9" t="s">
        <v>56</v>
      </c>
      <c r="N299" s="9" t="s">
        <v>344</v>
      </c>
      <c r="O299" s="9">
        <v>10</v>
      </c>
      <c r="P299" s="9" t="s">
        <v>58</v>
      </c>
      <c r="Q299" s="9">
        <v>570</v>
      </c>
      <c r="R299" s="9">
        <v>12</v>
      </c>
      <c r="S299" s="9"/>
      <c r="T299" s="9">
        <v>180</v>
      </c>
      <c r="U299" s="9">
        <v>2</v>
      </c>
      <c r="V299" s="9"/>
      <c r="W299" s="9">
        <v>1</v>
      </c>
      <c r="X299" s="9">
        <v>150</v>
      </c>
      <c r="Y299" s="9">
        <v>123.218951</v>
      </c>
      <c r="Z299" s="9">
        <v>3</v>
      </c>
      <c r="AA299" s="9">
        <v>384</v>
      </c>
      <c r="AB299" s="9">
        <v>384</v>
      </c>
      <c r="AC299" s="9" t="s">
        <v>345</v>
      </c>
      <c r="AD299" s="9">
        <v>3</v>
      </c>
      <c r="AE299" s="9">
        <v>3.3</v>
      </c>
      <c r="AF299" s="9" t="s">
        <v>76</v>
      </c>
      <c r="AG299" s="9"/>
      <c r="AH299" s="9" t="s">
        <v>77</v>
      </c>
      <c r="AI299" s="9">
        <v>80</v>
      </c>
      <c r="AJ299" s="9">
        <v>100</v>
      </c>
      <c r="AK299" s="9" t="s">
        <v>1162</v>
      </c>
      <c r="AL299" s="9">
        <v>5</v>
      </c>
      <c r="AM299" s="9">
        <v>1</v>
      </c>
      <c r="AN299" s="9" t="s">
        <v>63</v>
      </c>
      <c r="AO299" s="9" t="s">
        <v>527</v>
      </c>
      <c r="AP299" s="9" t="s">
        <v>65</v>
      </c>
      <c r="AQ299" s="9" t="s">
        <v>528</v>
      </c>
      <c r="AR299" s="9" t="s">
        <v>528</v>
      </c>
      <c r="AS299" s="9" t="s">
        <v>68</v>
      </c>
      <c r="AT299" s="9" t="s">
        <v>69</v>
      </c>
      <c r="AU299" s="9" t="s">
        <v>70</v>
      </c>
      <c r="AV299" s="9">
        <v>33</v>
      </c>
    </row>
    <row r="300" spans="1:48">
      <c r="A300" s="9">
        <f t="shared" si="4"/>
        <v>299</v>
      </c>
      <c r="B300" s="9" t="s">
        <v>1158</v>
      </c>
      <c r="C300" s="9" t="s">
        <v>1163</v>
      </c>
      <c r="D300" s="9">
        <v>0</v>
      </c>
      <c r="E300" s="9">
        <v>0</v>
      </c>
      <c r="F300" s="9" t="s">
        <v>72</v>
      </c>
      <c r="G300" s="9" t="s">
        <v>1164</v>
      </c>
      <c r="H300" s="9"/>
      <c r="I300" s="9" t="s">
        <v>808</v>
      </c>
      <c r="J300" s="9" t="s">
        <v>53</v>
      </c>
      <c r="K300" s="9" t="s">
        <v>54</v>
      </c>
      <c r="L300" s="9" t="s">
        <v>55</v>
      </c>
      <c r="M300" s="9" t="s">
        <v>56</v>
      </c>
      <c r="N300" s="9" t="s">
        <v>344</v>
      </c>
      <c r="O300" s="9">
        <v>12</v>
      </c>
      <c r="P300" s="9" t="s">
        <v>58</v>
      </c>
      <c r="Q300" s="9">
        <v>2770</v>
      </c>
      <c r="R300" s="9">
        <v>44</v>
      </c>
      <c r="S300" s="9"/>
      <c r="T300" s="9">
        <v>180</v>
      </c>
      <c r="U300" s="9">
        <v>7</v>
      </c>
      <c r="V300" s="9"/>
      <c r="W300" s="9">
        <v>1</v>
      </c>
      <c r="X300" s="9">
        <v>200</v>
      </c>
      <c r="Y300" s="9">
        <v>123.218961</v>
      </c>
      <c r="Z300" s="9">
        <v>3</v>
      </c>
      <c r="AA300" s="9">
        <v>384</v>
      </c>
      <c r="AB300" s="9">
        <v>384</v>
      </c>
      <c r="AC300" s="9" t="s">
        <v>345</v>
      </c>
      <c r="AD300" s="9">
        <v>3</v>
      </c>
      <c r="AE300" s="9">
        <v>3.3</v>
      </c>
      <c r="AF300" s="9" t="s">
        <v>809</v>
      </c>
      <c r="AG300" s="9"/>
      <c r="AH300" s="9" t="s">
        <v>61</v>
      </c>
      <c r="AI300" s="9">
        <v>60</v>
      </c>
      <c r="AJ300" s="9">
        <v>100</v>
      </c>
      <c r="AK300" s="9" t="s">
        <v>1165</v>
      </c>
      <c r="AL300" s="9">
        <v>13</v>
      </c>
      <c r="AM300" s="9">
        <v>1</v>
      </c>
      <c r="AN300" s="9" t="s">
        <v>63</v>
      </c>
      <c r="AO300" s="9" t="s">
        <v>527</v>
      </c>
      <c r="AP300" s="9" t="s">
        <v>65</v>
      </c>
      <c r="AQ300" s="9" t="s">
        <v>528</v>
      </c>
      <c r="AR300" s="9" t="s">
        <v>528</v>
      </c>
      <c r="AS300" s="9" t="s">
        <v>68</v>
      </c>
      <c r="AT300" s="9" t="s">
        <v>69</v>
      </c>
      <c r="AU300" s="9" t="s">
        <v>70</v>
      </c>
      <c r="AV300" s="9">
        <v>32</v>
      </c>
    </row>
    <row r="301" spans="1:48">
      <c r="A301" s="9">
        <f t="shared" si="4"/>
        <v>300</v>
      </c>
      <c r="B301" s="9" t="s">
        <v>1158</v>
      </c>
      <c r="C301" s="9" t="s">
        <v>1166</v>
      </c>
      <c r="D301" s="9">
        <v>1</v>
      </c>
      <c r="E301" s="9">
        <v>1</v>
      </c>
      <c r="F301" s="9" t="s">
        <v>72</v>
      </c>
      <c r="G301" s="9" t="s">
        <v>801</v>
      </c>
      <c r="H301" s="9"/>
      <c r="I301" s="9" t="s">
        <v>802</v>
      </c>
      <c r="J301" s="9" t="s">
        <v>53</v>
      </c>
      <c r="K301" s="9" t="s">
        <v>54</v>
      </c>
      <c r="L301" s="9" t="s">
        <v>803</v>
      </c>
      <c r="M301" s="9" t="s">
        <v>56</v>
      </c>
      <c r="N301" s="9" t="s">
        <v>344</v>
      </c>
      <c r="O301" s="9">
        <v>11</v>
      </c>
      <c r="P301" s="9" t="s">
        <v>58</v>
      </c>
      <c r="Q301" s="9">
        <v>3400</v>
      </c>
      <c r="R301" s="9">
        <v>25</v>
      </c>
      <c r="S301" s="9"/>
      <c r="T301" s="9">
        <v>180</v>
      </c>
      <c r="U301" s="9">
        <v>5</v>
      </c>
      <c r="V301" s="9"/>
      <c r="W301" s="9">
        <v>1</v>
      </c>
      <c r="X301" s="9">
        <v>171</v>
      </c>
      <c r="Y301" s="9">
        <v>123.218956</v>
      </c>
      <c r="Z301" s="9">
        <v>3</v>
      </c>
      <c r="AA301" s="9">
        <v>348</v>
      </c>
      <c r="AB301" s="9">
        <v>384</v>
      </c>
      <c r="AC301" s="9" t="s">
        <v>345</v>
      </c>
      <c r="AD301" s="9">
        <v>3</v>
      </c>
      <c r="AE301" s="9">
        <v>3.3</v>
      </c>
      <c r="AF301" s="9" t="s">
        <v>1167</v>
      </c>
      <c r="AG301" s="9"/>
      <c r="AH301" s="9" t="s">
        <v>61</v>
      </c>
      <c r="AI301" s="9">
        <v>90</v>
      </c>
      <c r="AJ301" s="9">
        <v>90.625</v>
      </c>
      <c r="AK301" s="9" t="s">
        <v>1168</v>
      </c>
      <c r="AL301" s="9">
        <v>14</v>
      </c>
      <c r="AM301" s="9">
        <v>1</v>
      </c>
      <c r="AN301" s="9" t="s">
        <v>63</v>
      </c>
      <c r="AO301" s="9" t="s">
        <v>527</v>
      </c>
      <c r="AP301" s="9" t="s">
        <v>65</v>
      </c>
      <c r="AQ301" s="9" t="s">
        <v>528</v>
      </c>
      <c r="AR301" s="9" t="s">
        <v>528</v>
      </c>
      <c r="AS301" s="9" t="s">
        <v>68</v>
      </c>
      <c r="AT301" s="9" t="s">
        <v>69</v>
      </c>
      <c r="AU301" s="9" t="s">
        <v>70</v>
      </c>
      <c r="AV301" s="9">
        <v>32</v>
      </c>
    </row>
    <row r="302" spans="1:48">
      <c r="A302" s="9">
        <f t="shared" si="4"/>
        <v>301</v>
      </c>
      <c r="B302" s="9" t="s">
        <v>1158</v>
      </c>
      <c r="C302" s="9" t="s">
        <v>1169</v>
      </c>
      <c r="D302" s="9">
        <v>1</v>
      </c>
      <c r="E302" s="9">
        <v>1</v>
      </c>
      <c r="F302" s="9" t="s">
        <v>50</v>
      </c>
      <c r="G302" s="9" t="s">
        <v>807</v>
      </c>
      <c r="H302" s="9"/>
      <c r="I302" s="9" t="s">
        <v>808</v>
      </c>
      <c r="J302" s="9" t="s">
        <v>53</v>
      </c>
      <c r="K302" s="9" t="s">
        <v>54</v>
      </c>
      <c r="L302" s="9" t="s">
        <v>82</v>
      </c>
      <c r="M302" s="9" t="s">
        <v>56</v>
      </c>
      <c r="N302" s="9" t="s">
        <v>344</v>
      </c>
      <c r="O302" s="9">
        <v>9</v>
      </c>
      <c r="P302" s="9" t="s">
        <v>58</v>
      </c>
      <c r="Q302" s="9">
        <v>3410</v>
      </c>
      <c r="R302" s="9">
        <v>44</v>
      </c>
      <c r="S302" s="9"/>
      <c r="T302" s="9">
        <v>180</v>
      </c>
      <c r="U302" s="9">
        <v>7</v>
      </c>
      <c r="V302" s="9"/>
      <c r="W302" s="9">
        <v>1</v>
      </c>
      <c r="X302" s="9">
        <v>200</v>
      </c>
      <c r="Y302" s="9">
        <v>123.218945</v>
      </c>
      <c r="Z302" s="9">
        <v>3</v>
      </c>
      <c r="AA302" s="9">
        <v>384</v>
      </c>
      <c r="AB302" s="9">
        <v>384</v>
      </c>
      <c r="AC302" s="9" t="s">
        <v>345</v>
      </c>
      <c r="AD302" s="9">
        <v>3</v>
      </c>
      <c r="AE302" s="9">
        <v>3.3</v>
      </c>
      <c r="AF302" s="9" t="s">
        <v>809</v>
      </c>
      <c r="AG302" s="9"/>
      <c r="AH302" s="9" t="s">
        <v>61</v>
      </c>
      <c r="AI302" s="9">
        <v>60</v>
      </c>
      <c r="AJ302" s="9">
        <v>100</v>
      </c>
      <c r="AK302" s="9" t="s">
        <v>1170</v>
      </c>
      <c r="AL302" s="9">
        <v>24</v>
      </c>
      <c r="AM302" s="9">
        <v>1</v>
      </c>
      <c r="AN302" s="9" t="s">
        <v>63</v>
      </c>
      <c r="AO302" s="9" t="s">
        <v>527</v>
      </c>
      <c r="AP302" s="9" t="s">
        <v>65</v>
      </c>
      <c r="AQ302" s="9" t="s">
        <v>528</v>
      </c>
      <c r="AR302" s="9" t="s">
        <v>528</v>
      </c>
      <c r="AS302" s="9" t="s">
        <v>68</v>
      </c>
      <c r="AT302" s="9" t="s">
        <v>69</v>
      </c>
      <c r="AU302" s="9" t="s">
        <v>70</v>
      </c>
      <c r="AV302" s="9">
        <v>33</v>
      </c>
    </row>
    <row r="303" spans="1:48">
      <c r="A303" s="9">
        <f t="shared" si="4"/>
        <v>302</v>
      </c>
      <c r="B303" s="9" t="s">
        <v>1158</v>
      </c>
      <c r="C303" s="9" t="s">
        <v>1171</v>
      </c>
      <c r="D303" s="9">
        <v>0</v>
      </c>
      <c r="E303" s="9">
        <v>0</v>
      </c>
      <c r="F303" s="9" t="s">
        <v>72</v>
      </c>
      <c r="G303" s="9" t="s">
        <v>823</v>
      </c>
      <c r="H303" s="9"/>
      <c r="I303" s="9" t="s">
        <v>824</v>
      </c>
      <c r="J303" s="9" t="s">
        <v>53</v>
      </c>
      <c r="K303" s="9" t="s">
        <v>54</v>
      </c>
      <c r="L303" s="9" t="s">
        <v>55</v>
      </c>
      <c r="M303" s="9" t="s">
        <v>56</v>
      </c>
      <c r="N303" s="9" t="s">
        <v>344</v>
      </c>
      <c r="O303" s="9">
        <v>14</v>
      </c>
      <c r="P303" s="9" t="s">
        <v>58</v>
      </c>
      <c r="Q303" s="9">
        <v>3000</v>
      </c>
      <c r="R303" s="9">
        <v>72</v>
      </c>
      <c r="S303" s="9"/>
      <c r="T303" s="9">
        <v>180</v>
      </c>
      <c r="U303" s="9">
        <v>15</v>
      </c>
      <c r="V303" s="9"/>
      <c r="W303" s="9">
        <v>2</v>
      </c>
      <c r="X303" s="9">
        <v>240</v>
      </c>
      <c r="Y303" s="9">
        <v>123.218951</v>
      </c>
      <c r="Z303" s="9">
        <v>3</v>
      </c>
      <c r="AA303" s="9">
        <v>416</v>
      </c>
      <c r="AB303" s="9">
        <v>416</v>
      </c>
      <c r="AC303" s="9" t="s">
        <v>825</v>
      </c>
      <c r="AD303" s="9">
        <v>3</v>
      </c>
      <c r="AE303" s="9">
        <v>3.6</v>
      </c>
      <c r="AF303" s="9" t="s">
        <v>826</v>
      </c>
      <c r="AG303" s="9"/>
      <c r="AH303" s="9" t="s">
        <v>77</v>
      </c>
      <c r="AI303" s="9">
        <v>70</v>
      </c>
      <c r="AJ303" s="9">
        <v>100</v>
      </c>
      <c r="AK303" s="9" t="s">
        <v>1172</v>
      </c>
      <c r="AL303" s="9">
        <v>15</v>
      </c>
      <c r="AM303" s="9">
        <v>1</v>
      </c>
      <c r="AN303" s="9" t="s">
        <v>63</v>
      </c>
      <c r="AO303" s="9" t="s">
        <v>527</v>
      </c>
      <c r="AP303" s="9" t="s">
        <v>65</v>
      </c>
      <c r="AQ303" s="9" t="s">
        <v>528</v>
      </c>
      <c r="AR303" s="9" t="s">
        <v>528</v>
      </c>
      <c r="AS303" s="9" t="s">
        <v>68</v>
      </c>
      <c r="AT303" s="9" t="s">
        <v>69</v>
      </c>
      <c r="AU303" s="9" t="s">
        <v>70</v>
      </c>
      <c r="AV303" s="9">
        <v>25</v>
      </c>
    </row>
    <row r="304" spans="1:48">
      <c r="A304" s="9">
        <f t="shared" si="4"/>
        <v>303</v>
      </c>
      <c r="B304" s="9" t="s">
        <v>1173</v>
      </c>
      <c r="C304" s="9" t="s">
        <v>1174</v>
      </c>
      <c r="D304" s="9">
        <v>0</v>
      </c>
      <c r="E304" s="9">
        <v>0</v>
      </c>
      <c r="F304" s="9" t="s">
        <v>91</v>
      </c>
      <c r="G304" s="9" t="s">
        <v>138</v>
      </c>
      <c r="H304" s="9"/>
      <c r="I304" s="9"/>
      <c r="J304" s="9" t="s">
        <v>53</v>
      </c>
      <c r="K304" s="9" t="s">
        <v>97</v>
      </c>
      <c r="L304" s="9" t="s">
        <v>98</v>
      </c>
      <c r="M304" s="9" t="s">
        <v>56</v>
      </c>
      <c r="N304" s="9" t="s">
        <v>99</v>
      </c>
      <c r="O304" s="9">
        <v>601</v>
      </c>
      <c r="P304" s="9" t="s">
        <v>58</v>
      </c>
      <c r="Q304" s="10">
        <v>542.609008789062</v>
      </c>
      <c r="R304" s="9">
        <v>11</v>
      </c>
      <c r="S304" s="9"/>
      <c r="T304" s="9">
        <v>90</v>
      </c>
      <c r="U304" s="9">
        <v>4</v>
      </c>
      <c r="V304" s="9">
        <v>1</v>
      </c>
      <c r="W304" s="9">
        <v>1</v>
      </c>
      <c r="X304" s="9">
        <v>292</v>
      </c>
      <c r="Y304" s="9">
        <v>127.747784</v>
      </c>
      <c r="Z304" s="9">
        <v>3</v>
      </c>
      <c r="AA304" s="9">
        <v>704</v>
      </c>
      <c r="AB304" s="9">
        <v>704</v>
      </c>
      <c r="AC304" s="9" t="s">
        <v>109</v>
      </c>
      <c r="AD304" s="9">
        <v>3</v>
      </c>
      <c r="AE304" s="9">
        <v>3.3</v>
      </c>
      <c r="AF304" s="9" t="s">
        <v>139</v>
      </c>
      <c r="AG304" s="9"/>
      <c r="AH304" s="9" t="s">
        <v>77</v>
      </c>
      <c r="AI304" s="9">
        <v>87.5</v>
      </c>
      <c r="AJ304" s="9">
        <v>100</v>
      </c>
      <c r="AK304" s="9" t="s">
        <v>1175</v>
      </c>
      <c r="AL304" s="9">
        <v>23</v>
      </c>
      <c r="AM304" s="9"/>
      <c r="AN304" s="9" t="s">
        <v>103</v>
      </c>
      <c r="AO304" s="9" t="s">
        <v>104</v>
      </c>
      <c r="AP304" s="9" t="s">
        <v>105</v>
      </c>
      <c r="AQ304" s="9" t="s">
        <v>106</v>
      </c>
      <c r="AR304" s="9"/>
      <c r="AS304" s="9" t="s">
        <v>68</v>
      </c>
      <c r="AT304" s="9" t="s">
        <v>69</v>
      </c>
      <c r="AU304" s="9" t="s">
        <v>70</v>
      </c>
      <c r="AV304" s="9">
        <v>40</v>
      </c>
    </row>
    <row r="305" spans="1:48">
      <c r="A305" s="9">
        <f t="shared" si="4"/>
        <v>304</v>
      </c>
      <c r="B305" s="9" t="s">
        <v>1173</v>
      </c>
      <c r="C305" s="9" t="s">
        <v>1176</v>
      </c>
      <c r="D305" s="9">
        <v>1</v>
      </c>
      <c r="E305" s="9">
        <v>1</v>
      </c>
      <c r="F305" s="9" t="s">
        <v>91</v>
      </c>
      <c r="G305" s="9" t="s">
        <v>134</v>
      </c>
      <c r="H305" s="9"/>
      <c r="I305" s="9"/>
      <c r="J305" s="9" t="s">
        <v>53</v>
      </c>
      <c r="K305" s="9" t="s">
        <v>97</v>
      </c>
      <c r="L305" s="9" t="s">
        <v>113</v>
      </c>
      <c r="M305" s="9" t="s">
        <v>56</v>
      </c>
      <c r="N305" s="9" t="s">
        <v>99</v>
      </c>
      <c r="O305" s="9">
        <v>501</v>
      </c>
      <c r="P305" s="9" t="s">
        <v>58</v>
      </c>
      <c r="Q305" s="10">
        <v>4021.40209960937</v>
      </c>
      <c r="R305" s="9">
        <v>83.823</v>
      </c>
      <c r="S305" s="9"/>
      <c r="T305" s="9">
        <v>90</v>
      </c>
      <c r="U305" s="9">
        <v>20</v>
      </c>
      <c r="V305" s="9">
        <v>1</v>
      </c>
      <c r="W305" s="9">
        <v>1</v>
      </c>
      <c r="X305" s="9">
        <v>250</v>
      </c>
      <c r="Y305" s="9">
        <v>127.747784</v>
      </c>
      <c r="Z305" s="9">
        <v>3</v>
      </c>
      <c r="AA305" s="9">
        <v>640</v>
      </c>
      <c r="AB305" s="9">
        <v>640</v>
      </c>
      <c r="AC305" s="9" t="s">
        <v>100</v>
      </c>
      <c r="AD305" s="9">
        <v>3</v>
      </c>
      <c r="AE305" s="9">
        <v>3.3</v>
      </c>
      <c r="AF305" s="9" t="s">
        <v>135</v>
      </c>
      <c r="AG305" s="9"/>
      <c r="AH305" s="9" t="s">
        <v>77</v>
      </c>
      <c r="AI305" s="9">
        <v>100</v>
      </c>
      <c r="AJ305" s="9">
        <v>100</v>
      </c>
      <c r="AK305" s="9" t="s">
        <v>1175</v>
      </c>
      <c r="AL305" s="9">
        <v>25</v>
      </c>
      <c r="AM305" s="9"/>
      <c r="AN305" s="9" t="s">
        <v>103</v>
      </c>
      <c r="AO305" s="9" t="s">
        <v>104</v>
      </c>
      <c r="AP305" s="9" t="s">
        <v>105</v>
      </c>
      <c r="AQ305" s="9" t="s">
        <v>106</v>
      </c>
      <c r="AR305" s="9"/>
      <c r="AS305" s="9" t="s">
        <v>68</v>
      </c>
      <c r="AT305" s="9" t="s">
        <v>69</v>
      </c>
      <c r="AU305" s="9" t="s">
        <v>70</v>
      </c>
      <c r="AV305" s="9">
        <v>40</v>
      </c>
    </row>
    <row r="306" spans="1:48">
      <c r="A306" s="9">
        <f t="shared" si="4"/>
        <v>305</v>
      </c>
      <c r="B306" s="9" t="s">
        <v>1173</v>
      </c>
      <c r="C306" s="9" t="s">
        <v>1177</v>
      </c>
      <c r="D306" s="9">
        <v>0</v>
      </c>
      <c r="E306" s="9">
        <v>0</v>
      </c>
      <c r="F306" s="9" t="s">
        <v>50</v>
      </c>
      <c r="G306" s="9" t="s">
        <v>118</v>
      </c>
      <c r="H306" s="9"/>
      <c r="I306" s="9"/>
      <c r="J306" s="9" t="s">
        <v>53</v>
      </c>
      <c r="K306" s="9" t="s">
        <v>97</v>
      </c>
      <c r="L306" s="9" t="s">
        <v>98</v>
      </c>
      <c r="M306" s="9" t="s">
        <v>56</v>
      </c>
      <c r="N306" s="9" t="s">
        <v>99</v>
      </c>
      <c r="O306" s="9">
        <v>301</v>
      </c>
      <c r="P306" s="9" t="s">
        <v>58</v>
      </c>
      <c r="Q306" s="9">
        <v>3000</v>
      </c>
      <c r="R306" s="9">
        <v>80</v>
      </c>
      <c r="S306" s="9"/>
      <c r="T306" s="9">
        <v>90</v>
      </c>
      <c r="U306" s="9">
        <v>14</v>
      </c>
      <c r="V306" s="9">
        <v>1</v>
      </c>
      <c r="W306" s="9">
        <v>1</v>
      </c>
      <c r="X306" s="9">
        <v>311</v>
      </c>
      <c r="Y306" s="9">
        <v>127.747776</v>
      </c>
      <c r="Z306" s="9">
        <v>3</v>
      </c>
      <c r="AA306" s="9">
        <v>432</v>
      </c>
      <c r="AB306" s="9">
        <v>432</v>
      </c>
      <c r="AC306" s="9" t="s">
        <v>119</v>
      </c>
      <c r="AD306" s="9">
        <v>3</v>
      </c>
      <c r="AE306" s="9">
        <v>3.3</v>
      </c>
      <c r="AF306" s="9" t="s">
        <v>120</v>
      </c>
      <c r="AG306" s="9"/>
      <c r="AH306" s="9" t="s">
        <v>61</v>
      </c>
      <c r="AI306" s="10">
        <v>81.8014678955078</v>
      </c>
      <c r="AJ306" s="9">
        <v>100</v>
      </c>
      <c r="AK306" s="9" t="s">
        <v>1178</v>
      </c>
      <c r="AL306" s="9">
        <v>3</v>
      </c>
      <c r="AM306" s="9"/>
      <c r="AN306" s="9" t="s">
        <v>103</v>
      </c>
      <c r="AO306" s="9" t="s">
        <v>104</v>
      </c>
      <c r="AP306" s="9" t="s">
        <v>105</v>
      </c>
      <c r="AQ306" s="9" t="s">
        <v>106</v>
      </c>
      <c r="AR306" s="9"/>
      <c r="AS306" s="9" t="s">
        <v>68</v>
      </c>
      <c r="AT306" s="9" t="s">
        <v>69</v>
      </c>
      <c r="AU306" s="9" t="s">
        <v>70</v>
      </c>
      <c r="AV306" s="9">
        <v>29</v>
      </c>
    </row>
    <row r="307" spans="1:48">
      <c r="A307" s="9">
        <f t="shared" si="4"/>
        <v>306</v>
      </c>
      <c r="B307" s="9" t="s">
        <v>1173</v>
      </c>
      <c r="C307" s="9" t="s">
        <v>1179</v>
      </c>
      <c r="D307" s="9">
        <v>1</v>
      </c>
      <c r="E307" s="9">
        <v>1</v>
      </c>
      <c r="F307" s="9" t="s">
        <v>72</v>
      </c>
      <c r="G307" s="9" t="s">
        <v>123</v>
      </c>
      <c r="H307" s="9"/>
      <c r="I307" s="9"/>
      <c r="J307" s="9" t="s">
        <v>53</v>
      </c>
      <c r="K307" s="9" t="s">
        <v>97</v>
      </c>
      <c r="L307" s="9" t="s">
        <v>113</v>
      </c>
      <c r="M307" s="9" t="s">
        <v>56</v>
      </c>
      <c r="N307" s="9" t="s">
        <v>99</v>
      </c>
      <c r="O307" s="9">
        <v>801</v>
      </c>
      <c r="P307" s="9" t="s">
        <v>58</v>
      </c>
      <c r="Q307" s="10">
        <v>2500.00048828125</v>
      </c>
      <c r="R307" s="9">
        <v>30</v>
      </c>
      <c r="S307" s="9"/>
      <c r="T307" s="9">
        <v>90</v>
      </c>
      <c r="U307" s="9">
        <v>10</v>
      </c>
      <c r="V307" s="9">
        <v>1</v>
      </c>
      <c r="W307" s="9">
        <v>2</v>
      </c>
      <c r="X307" s="9">
        <v>348</v>
      </c>
      <c r="Y307" s="9">
        <v>127.747784</v>
      </c>
      <c r="Z307" s="9">
        <v>3</v>
      </c>
      <c r="AA307" s="9">
        <v>640</v>
      </c>
      <c r="AB307" s="9">
        <v>640</v>
      </c>
      <c r="AC307" s="9" t="s">
        <v>100</v>
      </c>
      <c r="AD307" s="9">
        <v>3</v>
      </c>
      <c r="AE307" s="9">
        <v>3.3</v>
      </c>
      <c r="AF307" s="9" t="s">
        <v>124</v>
      </c>
      <c r="AG307" s="9"/>
      <c r="AH307" s="9" t="s">
        <v>77</v>
      </c>
      <c r="AI307" s="10">
        <v>86.5168533325195</v>
      </c>
      <c r="AJ307" s="9">
        <v>100</v>
      </c>
      <c r="AK307" s="9" t="s">
        <v>1180</v>
      </c>
      <c r="AL307" s="9">
        <v>6</v>
      </c>
      <c r="AM307" s="9"/>
      <c r="AN307" s="9" t="s">
        <v>103</v>
      </c>
      <c r="AO307" s="9" t="s">
        <v>104</v>
      </c>
      <c r="AP307" s="9" t="s">
        <v>105</v>
      </c>
      <c r="AQ307" s="9" t="s">
        <v>106</v>
      </c>
      <c r="AR307" s="9"/>
      <c r="AS307" s="9" t="s">
        <v>68</v>
      </c>
      <c r="AT307" s="9" t="s">
        <v>69</v>
      </c>
      <c r="AU307" s="9" t="s">
        <v>70</v>
      </c>
      <c r="AV307" s="9">
        <v>30</v>
      </c>
    </row>
    <row r="308" spans="1:48">
      <c r="A308" s="9">
        <f t="shared" si="4"/>
        <v>307</v>
      </c>
      <c r="B308" s="9" t="s">
        <v>1173</v>
      </c>
      <c r="C308" s="9" t="s">
        <v>1181</v>
      </c>
      <c r="D308" s="9">
        <v>0</v>
      </c>
      <c r="E308" s="9">
        <v>0</v>
      </c>
      <c r="F308" s="9" t="s">
        <v>72</v>
      </c>
      <c r="G308" s="9" t="s">
        <v>108</v>
      </c>
      <c r="H308" s="9"/>
      <c r="I308" s="9"/>
      <c r="J308" s="9" t="s">
        <v>53</v>
      </c>
      <c r="K308" s="9" t="s">
        <v>97</v>
      </c>
      <c r="L308" s="9" t="s">
        <v>98</v>
      </c>
      <c r="M308" s="9" t="s">
        <v>56</v>
      </c>
      <c r="N308" s="9" t="s">
        <v>99</v>
      </c>
      <c r="O308" s="9">
        <v>901</v>
      </c>
      <c r="P308" s="9" t="s">
        <v>58</v>
      </c>
      <c r="Q308" s="10">
        <v>519.12451171875</v>
      </c>
      <c r="R308" s="9">
        <v>10</v>
      </c>
      <c r="S308" s="9"/>
      <c r="T308" s="9">
        <v>90</v>
      </c>
      <c r="U308" s="9">
        <v>3</v>
      </c>
      <c r="V308" s="9">
        <v>1</v>
      </c>
      <c r="W308" s="9">
        <v>2</v>
      </c>
      <c r="X308" s="9">
        <v>362</v>
      </c>
      <c r="Y308" s="9">
        <v>127.747784</v>
      </c>
      <c r="Z308" s="9">
        <v>3</v>
      </c>
      <c r="AA308" s="9">
        <v>704</v>
      </c>
      <c r="AB308" s="9">
        <v>704</v>
      </c>
      <c r="AC308" s="9" t="s">
        <v>109</v>
      </c>
      <c r="AD308" s="9">
        <v>3</v>
      </c>
      <c r="AE308" s="9">
        <v>3.3</v>
      </c>
      <c r="AF308" s="9" t="s">
        <v>110</v>
      </c>
      <c r="AG308" s="9"/>
      <c r="AH308" s="9" t="s">
        <v>77</v>
      </c>
      <c r="AI308" s="10">
        <v>88.2022476196289</v>
      </c>
      <c r="AJ308" s="9">
        <v>100</v>
      </c>
      <c r="AK308" s="9" t="s">
        <v>1180</v>
      </c>
      <c r="AL308" s="9">
        <v>23</v>
      </c>
      <c r="AM308" s="9"/>
      <c r="AN308" s="9" t="s">
        <v>103</v>
      </c>
      <c r="AO308" s="9" t="s">
        <v>104</v>
      </c>
      <c r="AP308" s="9" t="s">
        <v>105</v>
      </c>
      <c r="AQ308" s="9" t="s">
        <v>106</v>
      </c>
      <c r="AR308" s="9"/>
      <c r="AS308" s="9" t="s">
        <v>68</v>
      </c>
      <c r="AT308" s="9" t="s">
        <v>69</v>
      </c>
      <c r="AU308" s="9" t="s">
        <v>70</v>
      </c>
      <c r="AV308" s="9">
        <v>30</v>
      </c>
    </row>
    <row r="309" spans="1:48">
      <c r="A309" s="9">
        <f t="shared" si="4"/>
        <v>308</v>
      </c>
      <c r="B309" s="9" t="s">
        <v>1173</v>
      </c>
      <c r="C309" s="9" t="s">
        <v>1182</v>
      </c>
      <c r="D309" s="9">
        <v>1</v>
      </c>
      <c r="E309" s="9">
        <v>1</v>
      </c>
      <c r="F309" s="9" t="s">
        <v>50</v>
      </c>
      <c r="G309" s="9" t="s">
        <v>130</v>
      </c>
      <c r="H309" s="9"/>
      <c r="I309" s="9"/>
      <c r="J309" s="9" t="s">
        <v>53</v>
      </c>
      <c r="K309" s="9" t="s">
        <v>97</v>
      </c>
      <c r="L309" s="9" t="s">
        <v>113</v>
      </c>
      <c r="M309" s="9" t="s">
        <v>56</v>
      </c>
      <c r="N309" s="9" t="s">
        <v>99</v>
      </c>
      <c r="O309" s="9">
        <v>201</v>
      </c>
      <c r="P309" s="9" t="s">
        <v>58</v>
      </c>
      <c r="Q309" s="10">
        <v>3059.3955078125</v>
      </c>
      <c r="R309" s="9">
        <v>30</v>
      </c>
      <c r="S309" s="9"/>
      <c r="T309" s="9">
        <v>90</v>
      </c>
      <c r="U309" s="9">
        <v>12</v>
      </c>
      <c r="V309" s="9">
        <v>1</v>
      </c>
      <c r="W309" s="9">
        <v>1</v>
      </c>
      <c r="X309" s="9">
        <v>252</v>
      </c>
      <c r="Y309" s="9">
        <v>127.74776</v>
      </c>
      <c r="Z309" s="9">
        <v>3</v>
      </c>
      <c r="AA309" s="9">
        <v>800</v>
      </c>
      <c r="AB309" s="9">
        <v>800</v>
      </c>
      <c r="AC309" s="9" t="s">
        <v>131</v>
      </c>
      <c r="AD309" s="9">
        <v>3</v>
      </c>
      <c r="AE309" s="9">
        <v>3.3</v>
      </c>
      <c r="AF309" s="9" t="s">
        <v>132</v>
      </c>
      <c r="AG309" s="9"/>
      <c r="AH309" s="9" t="s">
        <v>61</v>
      </c>
      <c r="AI309" s="9">
        <v>75</v>
      </c>
      <c r="AJ309" s="9">
        <v>100</v>
      </c>
      <c r="AK309" s="9" t="s">
        <v>1178</v>
      </c>
      <c r="AL309" s="9">
        <v>7</v>
      </c>
      <c r="AM309" s="9"/>
      <c r="AN309" s="9" t="s">
        <v>103</v>
      </c>
      <c r="AO309" s="9" t="s">
        <v>104</v>
      </c>
      <c r="AP309" s="9" t="s">
        <v>105</v>
      </c>
      <c r="AQ309" s="9" t="s">
        <v>106</v>
      </c>
      <c r="AR309" s="9"/>
      <c r="AS309" s="9" t="s">
        <v>68</v>
      </c>
      <c r="AT309" s="9" t="s">
        <v>69</v>
      </c>
      <c r="AU309" s="9" t="s">
        <v>70</v>
      </c>
      <c r="AV309" s="9">
        <v>29</v>
      </c>
    </row>
    <row r="310" spans="1:48">
      <c r="A310" s="9">
        <f t="shared" si="4"/>
        <v>309</v>
      </c>
      <c r="B310" s="9" t="s">
        <v>1173</v>
      </c>
      <c r="C310" s="9" t="s">
        <v>1183</v>
      </c>
      <c r="D310" s="9">
        <v>0</v>
      </c>
      <c r="E310" s="9">
        <v>0</v>
      </c>
      <c r="F310" s="9" t="s">
        <v>50</v>
      </c>
      <c r="G310" s="9" t="s">
        <v>126</v>
      </c>
      <c r="H310" s="9"/>
      <c r="I310" s="9"/>
      <c r="J310" s="9" t="s">
        <v>53</v>
      </c>
      <c r="K310" s="9" t="s">
        <v>97</v>
      </c>
      <c r="L310" s="9" t="s">
        <v>98</v>
      </c>
      <c r="M310" s="9" t="s">
        <v>56</v>
      </c>
      <c r="N310" s="9" t="s">
        <v>99</v>
      </c>
      <c r="O310" s="9">
        <v>401</v>
      </c>
      <c r="P310" s="9" t="s">
        <v>58</v>
      </c>
      <c r="Q310" s="10">
        <v>646.807495117187</v>
      </c>
      <c r="R310" s="9">
        <v>11</v>
      </c>
      <c r="S310" s="9"/>
      <c r="T310" s="9">
        <v>90</v>
      </c>
      <c r="U310" s="9">
        <v>3</v>
      </c>
      <c r="V310" s="9">
        <v>1</v>
      </c>
      <c r="W310" s="9">
        <v>1</v>
      </c>
      <c r="X310" s="9">
        <v>313</v>
      </c>
      <c r="Y310" s="9">
        <v>127.747776</v>
      </c>
      <c r="Z310" s="9">
        <v>3</v>
      </c>
      <c r="AA310" s="9">
        <v>512</v>
      </c>
      <c r="AB310" s="9">
        <v>512</v>
      </c>
      <c r="AC310" s="9" t="s">
        <v>127</v>
      </c>
      <c r="AD310" s="9">
        <v>3</v>
      </c>
      <c r="AE310" s="9">
        <v>3.3</v>
      </c>
      <c r="AF310" s="9" t="s">
        <v>128</v>
      </c>
      <c r="AG310" s="9"/>
      <c r="AH310" s="9" t="s">
        <v>61</v>
      </c>
      <c r="AI310" s="10">
        <v>83.2558135986328</v>
      </c>
      <c r="AJ310" s="9">
        <v>100</v>
      </c>
      <c r="AK310" s="9" t="s">
        <v>1178</v>
      </c>
      <c r="AL310" s="9">
        <v>8</v>
      </c>
      <c r="AM310" s="9"/>
      <c r="AN310" s="9" t="s">
        <v>103</v>
      </c>
      <c r="AO310" s="9" t="s">
        <v>104</v>
      </c>
      <c r="AP310" s="9" t="s">
        <v>105</v>
      </c>
      <c r="AQ310" s="9" t="s">
        <v>106</v>
      </c>
      <c r="AR310" s="9"/>
      <c r="AS310" s="9" t="s">
        <v>68</v>
      </c>
      <c r="AT310" s="9" t="s">
        <v>69</v>
      </c>
      <c r="AU310" s="9" t="s">
        <v>70</v>
      </c>
      <c r="AV310" s="9">
        <v>29</v>
      </c>
    </row>
    <row r="311" spans="1:48">
      <c r="A311" s="9">
        <f t="shared" si="4"/>
        <v>310</v>
      </c>
      <c r="B311" s="9" t="s">
        <v>1173</v>
      </c>
      <c r="C311" s="9" t="s">
        <v>1184</v>
      </c>
      <c r="D311" s="9">
        <v>0</v>
      </c>
      <c r="E311" s="9">
        <v>0</v>
      </c>
      <c r="F311" s="9" t="s">
        <v>72</v>
      </c>
      <c r="G311" s="9" t="s">
        <v>256</v>
      </c>
      <c r="H311" s="9"/>
      <c r="I311" s="9"/>
      <c r="J311" s="9" t="s">
        <v>53</v>
      </c>
      <c r="K311" s="9" t="s">
        <v>97</v>
      </c>
      <c r="L311" s="9" t="s">
        <v>98</v>
      </c>
      <c r="M311" s="9" t="s">
        <v>56</v>
      </c>
      <c r="N311" s="9" t="s">
        <v>99</v>
      </c>
      <c r="O311" s="9">
        <v>701</v>
      </c>
      <c r="P311" s="9" t="s">
        <v>58</v>
      </c>
      <c r="Q311" s="10">
        <v>2500.00048828125</v>
      </c>
      <c r="R311" s="9">
        <v>80</v>
      </c>
      <c r="S311" s="9"/>
      <c r="T311" s="9">
        <v>90</v>
      </c>
      <c r="U311" s="9">
        <v>16</v>
      </c>
      <c r="V311" s="9">
        <v>1</v>
      </c>
      <c r="W311" s="9">
        <v>2</v>
      </c>
      <c r="X311" s="9">
        <v>319</v>
      </c>
      <c r="Y311" s="9">
        <v>127.747784</v>
      </c>
      <c r="Z311" s="9">
        <v>3</v>
      </c>
      <c r="AA311" s="9">
        <v>640</v>
      </c>
      <c r="AB311" s="9">
        <v>640</v>
      </c>
      <c r="AC311" s="9" t="s">
        <v>100</v>
      </c>
      <c r="AD311" s="9">
        <v>3</v>
      </c>
      <c r="AE311" s="9">
        <v>3.3</v>
      </c>
      <c r="AF311" s="9" t="s">
        <v>101</v>
      </c>
      <c r="AG311" s="9"/>
      <c r="AH311" s="9" t="s">
        <v>77</v>
      </c>
      <c r="AI311" s="10">
        <v>86.5168533325195</v>
      </c>
      <c r="AJ311" s="9">
        <v>100</v>
      </c>
      <c r="AK311" s="9" t="s">
        <v>1180</v>
      </c>
      <c r="AL311" s="9">
        <v>23</v>
      </c>
      <c r="AM311" s="9"/>
      <c r="AN311" s="9" t="s">
        <v>103</v>
      </c>
      <c r="AO311" s="9" t="s">
        <v>104</v>
      </c>
      <c r="AP311" s="9" t="s">
        <v>105</v>
      </c>
      <c r="AQ311" s="9" t="s">
        <v>106</v>
      </c>
      <c r="AR311" s="9"/>
      <c r="AS311" s="9" t="s">
        <v>68</v>
      </c>
      <c r="AT311" s="9" t="s">
        <v>69</v>
      </c>
      <c r="AU311" s="9" t="s">
        <v>70</v>
      </c>
      <c r="AV311" s="9">
        <v>30</v>
      </c>
    </row>
    <row r="312" spans="1:48">
      <c r="A312" s="9">
        <f t="shared" si="4"/>
        <v>311</v>
      </c>
      <c r="B312" s="9" t="s">
        <v>1185</v>
      </c>
      <c r="C312" s="9" t="s">
        <v>1186</v>
      </c>
      <c r="D312" s="9">
        <v>1</v>
      </c>
      <c r="E312" s="9">
        <v>1</v>
      </c>
      <c r="F312" s="9" t="s">
        <v>72</v>
      </c>
      <c r="G312" s="9" t="s">
        <v>1187</v>
      </c>
      <c r="H312" s="9"/>
      <c r="I312" s="9"/>
      <c r="J312" s="9"/>
      <c r="K312" s="9"/>
      <c r="L312" s="9"/>
      <c r="M312" s="9"/>
      <c r="N312" s="9" t="s">
        <v>145</v>
      </c>
      <c r="O312" s="9">
        <v>5</v>
      </c>
      <c r="P312" s="9" t="s">
        <v>58</v>
      </c>
      <c r="Q312" s="9"/>
      <c r="R312" s="9"/>
      <c r="S312" s="9"/>
      <c r="T312" s="9"/>
      <c r="U312" s="9"/>
      <c r="V312" s="9"/>
      <c r="W312" s="9"/>
      <c r="X312" s="9"/>
      <c r="Y312" s="9"/>
      <c r="Z312" s="9"/>
      <c r="AA312" s="9">
        <v>512</v>
      </c>
      <c r="AB312" s="9">
        <v>512</v>
      </c>
      <c r="AC312" s="9" t="s">
        <v>1188</v>
      </c>
      <c r="AD312" s="9">
        <v>5</v>
      </c>
      <c r="AE312" s="9"/>
      <c r="AF312" s="9"/>
      <c r="AG312" s="9"/>
      <c r="AH312" s="9"/>
      <c r="AI312" s="9"/>
      <c r="AJ312" s="9"/>
      <c r="AK312" s="9" t="s">
        <v>1189</v>
      </c>
      <c r="AL312" s="9">
        <v>11</v>
      </c>
      <c r="AM312" s="9"/>
      <c r="AN312" s="9" t="s">
        <v>149</v>
      </c>
      <c r="AO312" s="9" t="s">
        <v>709</v>
      </c>
      <c r="AP312" s="9"/>
      <c r="AQ312" s="9"/>
      <c r="AR312" s="9"/>
      <c r="AS312" s="9"/>
      <c r="AT312" s="9"/>
      <c r="AU312" s="9"/>
      <c r="AV312" s="9">
        <v>15</v>
      </c>
    </row>
    <row r="313" spans="1:48">
      <c r="A313" s="9">
        <f t="shared" si="4"/>
        <v>312</v>
      </c>
      <c r="B313" s="9" t="s">
        <v>1185</v>
      </c>
      <c r="C313" s="9" t="s">
        <v>1190</v>
      </c>
      <c r="D313" s="9">
        <v>1</v>
      </c>
      <c r="E313" s="9">
        <v>1</v>
      </c>
      <c r="F313" s="9" t="s">
        <v>50</v>
      </c>
      <c r="G313" s="9" t="s">
        <v>1191</v>
      </c>
      <c r="H313" s="9"/>
      <c r="I313" s="9"/>
      <c r="J313" s="9"/>
      <c r="K313" s="9"/>
      <c r="L313" s="9"/>
      <c r="M313" s="9"/>
      <c r="N313" s="9" t="s">
        <v>145</v>
      </c>
      <c r="O313" s="9">
        <v>3</v>
      </c>
      <c r="P313" s="9" t="s">
        <v>58</v>
      </c>
      <c r="Q313" s="9"/>
      <c r="R313" s="9"/>
      <c r="S313" s="9"/>
      <c r="T313" s="9"/>
      <c r="U313" s="9"/>
      <c r="V313" s="9"/>
      <c r="W313" s="9"/>
      <c r="X313" s="9"/>
      <c r="Y313" s="9"/>
      <c r="Z313" s="9"/>
      <c r="AA313" s="9">
        <v>512</v>
      </c>
      <c r="AB313" s="9">
        <v>512</v>
      </c>
      <c r="AC313" s="9" t="s">
        <v>1192</v>
      </c>
      <c r="AD313" s="9">
        <v>5</v>
      </c>
      <c r="AE313" s="9"/>
      <c r="AF313" s="9"/>
      <c r="AG313" s="9"/>
      <c r="AH313" s="9"/>
      <c r="AI313" s="9"/>
      <c r="AJ313" s="9"/>
      <c r="AK313" s="9" t="s">
        <v>1193</v>
      </c>
      <c r="AL313" s="9">
        <v>13</v>
      </c>
      <c r="AM313" s="9"/>
      <c r="AN313" s="9" t="s">
        <v>149</v>
      </c>
      <c r="AO313" s="9" t="s">
        <v>709</v>
      </c>
      <c r="AP313" s="9"/>
      <c r="AQ313" s="9"/>
      <c r="AR313" s="9"/>
      <c r="AS313" s="9"/>
      <c r="AT313" s="9"/>
      <c r="AU313" s="9"/>
      <c r="AV313" s="9">
        <v>15</v>
      </c>
    </row>
    <row r="314" spans="1:48">
      <c r="A314" s="9">
        <f t="shared" si="4"/>
        <v>313</v>
      </c>
      <c r="B314" s="9" t="s">
        <v>1185</v>
      </c>
      <c r="C314" s="9" t="s">
        <v>1194</v>
      </c>
      <c r="D314" s="9">
        <v>1</v>
      </c>
      <c r="E314" s="9">
        <v>1</v>
      </c>
      <c r="F314" s="9" t="s">
        <v>50</v>
      </c>
      <c r="G314" s="9" t="s">
        <v>1195</v>
      </c>
      <c r="H314" s="9"/>
      <c r="I314" s="9"/>
      <c r="J314" s="9"/>
      <c r="K314" s="9"/>
      <c r="L314" s="9"/>
      <c r="M314" s="9"/>
      <c r="N314" s="9" t="s">
        <v>145</v>
      </c>
      <c r="O314" s="9">
        <v>2</v>
      </c>
      <c r="P314" s="9" t="s">
        <v>58</v>
      </c>
      <c r="Q314" s="9"/>
      <c r="R314" s="9"/>
      <c r="S314" s="9"/>
      <c r="T314" s="9"/>
      <c r="U314" s="9"/>
      <c r="V314" s="9"/>
      <c r="W314" s="9"/>
      <c r="X314" s="9"/>
      <c r="Y314" s="9"/>
      <c r="Z314" s="9"/>
      <c r="AA314" s="9">
        <v>512</v>
      </c>
      <c r="AB314" s="9">
        <v>512</v>
      </c>
      <c r="AC314" s="9" t="s">
        <v>1192</v>
      </c>
      <c r="AD314" s="9">
        <v>5</v>
      </c>
      <c r="AE314" s="9"/>
      <c r="AF314" s="9"/>
      <c r="AG314" s="9"/>
      <c r="AH314" s="9"/>
      <c r="AI314" s="9"/>
      <c r="AJ314" s="9"/>
      <c r="AK314" s="9" t="s">
        <v>1196</v>
      </c>
      <c r="AL314" s="9">
        <v>2</v>
      </c>
      <c r="AM314" s="9"/>
      <c r="AN314" s="9" t="s">
        <v>149</v>
      </c>
      <c r="AO314" s="9" t="s">
        <v>709</v>
      </c>
      <c r="AP314" s="9"/>
      <c r="AQ314" s="9"/>
      <c r="AR314" s="9"/>
      <c r="AS314" s="9"/>
      <c r="AT314" s="9"/>
      <c r="AU314" s="9"/>
      <c r="AV314" s="9">
        <v>15</v>
      </c>
    </row>
    <row r="315" spans="1:48">
      <c r="A315" s="9">
        <f t="shared" si="4"/>
        <v>314</v>
      </c>
      <c r="B315" s="9" t="s">
        <v>1185</v>
      </c>
      <c r="C315" s="9" t="s">
        <v>1197</v>
      </c>
      <c r="D315" s="9">
        <v>1</v>
      </c>
      <c r="E315" s="9">
        <v>1</v>
      </c>
      <c r="F315" s="9" t="s">
        <v>91</v>
      </c>
      <c r="G315" s="9" t="s">
        <v>1198</v>
      </c>
      <c r="H315" s="9"/>
      <c r="I315" s="9"/>
      <c r="J315" s="9"/>
      <c r="K315" s="9"/>
      <c r="L315" s="9"/>
      <c r="M315" s="9"/>
      <c r="N315" s="9" t="s">
        <v>145</v>
      </c>
      <c r="O315" s="9">
        <v>6</v>
      </c>
      <c r="P315" s="9" t="s">
        <v>58</v>
      </c>
      <c r="Q315" s="9"/>
      <c r="R315" s="9"/>
      <c r="S315" s="9"/>
      <c r="T315" s="9"/>
      <c r="U315" s="9"/>
      <c r="V315" s="9"/>
      <c r="W315" s="9"/>
      <c r="X315" s="9"/>
      <c r="Y315" s="9"/>
      <c r="Z315" s="9"/>
      <c r="AA315" s="9">
        <v>512</v>
      </c>
      <c r="AB315" s="9">
        <v>512</v>
      </c>
      <c r="AC315" s="9" t="s">
        <v>1199</v>
      </c>
      <c r="AD315" s="9">
        <v>5</v>
      </c>
      <c r="AE315" s="9"/>
      <c r="AF315" s="9"/>
      <c r="AG315" s="9"/>
      <c r="AH315" s="9"/>
      <c r="AI315" s="9"/>
      <c r="AJ315" s="9"/>
      <c r="AK315" s="9" t="s">
        <v>1200</v>
      </c>
      <c r="AL315" s="9">
        <v>9</v>
      </c>
      <c r="AM315" s="9"/>
      <c r="AN315" s="9" t="s">
        <v>149</v>
      </c>
      <c r="AO315" s="9" t="s">
        <v>709</v>
      </c>
      <c r="AP315" s="9"/>
      <c r="AQ315" s="9"/>
      <c r="AR315" s="9"/>
      <c r="AS315" s="9"/>
      <c r="AT315" s="9"/>
      <c r="AU315" s="9"/>
      <c r="AV315" s="9">
        <v>15</v>
      </c>
    </row>
    <row r="316" spans="1:48">
      <c r="A316" s="9">
        <f t="shared" si="4"/>
        <v>315</v>
      </c>
      <c r="B316" s="9" t="s">
        <v>1185</v>
      </c>
      <c r="C316" s="9" t="s">
        <v>1201</v>
      </c>
      <c r="D316" s="9">
        <v>0</v>
      </c>
      <c r="E316" s="9">
        <v>0</v>
      </c>
      <c r="F316" s="9" t="s">
        <v>50</v>
      </c>
      <c r="G316" s="9" t="s">
        <v>514</v>
      </c>
      <c r="H316" s="9"/>
      <c r="I316" s="9"/>
      <c r="J316" s="9"/>
      <c r="K316" s="9"/>
      <c r="L316" s="9"/>
      <c r="M316" s="9"/>
      <c r="N316" s="9" t="s">
        <v>145</v>
      </c>
      <c r="O316" s="9">
        <v>4</v>
      </c>
      <c r="P316" s="9" t="s">
        <v>58</v>
      </c>
      <c r="Q316" s="9"/>
      <c r="R316" s="9"/>
      <c r="S316" s="9"/>
      <c r="T316" s="9"/>
      <c r="U316" s="9"/>
      <c r="V316" s="9"/>
      <c r="W316" s="9"/>
      <c r="X316" s="9"/>
      <c r="Y316" s="9"/>
      <c r="Z316" s="9"/>
      <c r="AA316" s="9">
        <v>256</v>
      </c>
      <c r="AB316" s="9">
        <v>256</v>
      </c>
      <c r="AC316" s="9" t="s">
        <v>1202</v>
      </c>
      <c r="AD316" s="9">
        <v>5</v>
      </c>
      <c r="AE316" s="9"/>
      <c r="AF316" s="9"/>
      <c r="AG316" s="9"/>
      <c r="AH316" s="9"/>
      <c r="AI316" s="9"/>
      <c r="AJ316" s="9"/>
      <c r="AK316" s="9" t="s">
        <v>1203</v>
      </c>
      <c r="AL316" s="9">
        <v>14</v>
      </c>
      <c r="AM316" s="9"/>
      <c r="AN316" s="9" t="s">
        <v>149</v>
      </c>
      <c r="AO316" s="9" t="s">
        <v>709</v>
      </c>
      <c r="AP316" s="9"/>
      <c r="AQ316" s="9"/>
      <c r="AR316" s="9"/>
      <c r="AS316" s="9"/>
      <c r="AT316" s="9"/>
      <c r="AU316" s="9"/>
      <c r="AV316" s="9">
        <v>15</v>
      </c>
    </row>
    <row r="317" spans="1:48">
      <c r="A317" s="9">
        <f t="shared" si="4"/>
        <v>316</v>
      </c>
      <c r="B317" s="9" t="s">
        <v>1204</v>
      </c>
      <c r="C317" s="9" t="s">
        <v>1205</v>
      </c>
      <c r="D317" s="9">
        <v>0</v>
      </c>
      <c r="E317" s="9">
        <v>0</v>
      </c>
      <c r="F317" s="9" t="s">
        <v>72</v>
      </c>
      <c r="G317" s="9" t="s">
        <v>816</v>
      </c>
      <c r="H317" s="9"/>
      <c r="I317" s="9" t="s">
        <v>808</v>
      </c>
      <c r="J317" s="9" t="s">
        <v>53</v>
      </c>
      <c r="K317" s="9" t="s">
        <v>54</v>
      </c>
      <c r="L317" s="9" t="s">
        <v>55</v>
      </c>
      <c r="M317" s="9" t="s">
        <v>56</v>
      </c>
      <c r="N317" s="9" t="s">
        <v>344</v>
      </c>
      <c r="O317" s="9">
        <v>8</v>
      </c>
      <c r="P317" s="9" t="s">
        <v>58</v>
      </c>
      <c r="Q317" s="9">
        <v>3110</v>
      </c>
      <c r="R317" s="9">
        <v>44</v>
      </c>
      <c r="S317" s="9"/>
      <c r="T317" s="9">
        <v>180</v>
      </c>
      <c r="U317" s="9">
        <v>7</v>
      </c>
      <c r="V317" s="9">
        <v>1</v>
      </c>
      <c r="W317" s="9">
        <v>1</v>
      </c>
      <c r="X317" s="9">
        <v>200</v>
      </c>
      <c r="Y317" s="9">
        <v>123.218939</v>
      </c>
      <c r="Z317" s="9">
        <v>3</v>
      </c>
      <c r="AA317" s="9">
        <v>384</v>
      </c>
      <c r="AB317" s="9">
        <v>384</v>
      </c>
      <c r="AC317" s="9" t="s">
        <v>345</v>
      </c>
      <c r="AD317" s="9">
        <v>3</v>
      </c>
      <c r="AE317" s="9">
        <v>3.3</v>
      </c>
      <c r="AF317" s="9" t="s">
        <v>817</v>
      </c>
      <c r="AG317" s="9"/>
      <c r="AH317" s="9" t="s">
        <v>77</v>
      </c>
      <c r="AI317" s="9">
        <v>60</v>
      </c>
      <c r="AJ317" s="9">
        <v>100</v>
      </c>
      <c r="AK317" s="9" t="s">
        <v>1206</v>
      </c>
      <c r="AL317" s="9">
        <v>23</v>
      </c>
      <c r="AM317" s="9">
        <v>1</v>
      </c>
      <c r="AN317" s="9" t="s">
        <v>63</v>
      </c>
      <c r="AO317" s="9" t="s">
        <v>527</v>
      </c>
      <c r="AP317" s="9" t="s">
        <v>349</v>
      </c>
      <c r="AQ317" s="9" t="s">
        <v>528</v>
      </c>
      <c r="AR317" s="9" t="s">
        <v>528</v>
      </c>
      <c r="AS317" s="9" t="s">
        <v>68</v>
      </c>
      <c r="AT317" s="9" t="s">
        <v>69</v>
      </c>
      <c r="AU317" s="9" t="s">
        <v>214</v>
      </c>
      <c r="AV317" s="9">
        <v>36</v>
      </c>
    </row>
    <row r="318" spans="1:48">
      <c r="A318" s="9">
        <f t="shared" si="4"/>
        <v>317</v>
      </c>
      <c r="B318" s="9" t="s">
        <v>1204</v>
      </c>
      <c r="C318" s="9" t="s">
        <v>1207</v>
      </c>
      <c r="D318" s="9">
        <v>1</v>
      </c>
      <c r="E318" s="9">
        <v>1</v>
      </c>
      <c r="F318" s="9" t="s">
        <v>91</v>
      </c>
      <c r="G318" s="9" t="s">
        <v>276</v>
      </c>
      <c r="H318" s="9"/>
      <c r="I318" s="9" t="s">
        <v>802</v>
      </c>
      <c r="J318" s="9" t="s">
        <v>53</v>
      </c>
      <c r="K318" s="9" t="s">
        <v>54</v>
      </c>
      <c r="L318" s="9" t="s">
        <v>82</v>
      </c>
      <c r="M318" s="9" t="s">
        <v>56</v>
      </c>
      <c r="N318" s="9" t="s">
        <v>344</v>
      </c>
      <c r="O318" s="9">
        <v>9</v>
      </c>
      <c r="P318" s="9" t="s">
        <v>58</v>
      </c>
      <c r="Q318" s="9">
        <v>6030</v>
      </c>
      <c r="R318" s="9">
        <v>36</v>
      </c>
      <c r="S318" s="9"/>
      <c r="T318" s="9">
        <v>180</v>
      </c>
      <c r="U318" s="9">
        <v>7</v>
      </c>
      <c r="V318" s="9">
        <v>1</v>
      </c>
      <c r="W318" s="9">
        <v>1</v>
      </c>
      <c r="X318" s="9">
        <v>150</v>
      </c>
      <c r="Y318" s="9">
        <v>123.218939</v>
      </c>
      <c r="Z318" s="9">
        <v>3</v>
      </c>
      <c r="AA318" s="9">
        <v>320</v>
      </c>
      <c r="AB318" s="9">
        <v>300</v>
      </c>
      <c r="AC318" s="9" t="s">
        <v>819</v>
      </c>
      <c r="AD318" s="9">
        <v>3</v>
      </c>
      <c r="AE318" s="9">
        <v>3.3</v>
      </c>
      <c r="AF318" s="9" t="s">
        <v>820</v>
      </c>
      <c r="AG318" s="9"/>
      <c r="AH318" s="9" t="s">
        <v>77</v>
      </c>
      <c r="AI318" s="9">
        <v>70</v>
      </c>
      <c r="AJ318" s="9">
        <v>93.75</v>
      </c>
      <c r="AK318" s="9" t="s">
        <v>1208</v>
      </c>
      <c r="AL318" s="9">
        <v>30</v>
      </c>
      <c r="AM318" s="9">
        <v>1</v>
      </c>
      <c r="AN318" s="9" t="s">
        <v>63</v>
      </c>
      <c r="AO318" s="9" t="s">
        <v>527</v>
      </c>
      <c r="AP318" s="9" t="s">
        <v>349</v>
      </c>
      <c r="AQ318" s="9" t="s">
        <v>528</v>
      </c>
      <c r="AR318" s="9" t="s">
        <v>528</v>
      </c>
      <c r="AS318" s="9" t="s">
        <v>68</v>
      </c>
      <c r="AT318" s="9" t="s">
        <v>69</v>
      </c>
      <c r="AU318" s="9" t="s">
        <v>214</v>
      </c>
      <c r="AV318" s="9">
        <v>50</v>
      </c>
    </row>
    <row r="319" spans="1:48">
      <c r="A319" s="9">
        <f t="shared" si="4"/>
        <v>318</v>
      </c>
      <c r="B319" s="9" t="s">
        <v>1204</v>
      </c>
      <c r="C319" s="9" t="s">
        <v>1209</v>
      </c>
      <c r="D319" s="9">
        <v>0</v>
      </c>
      <c r="E319" s="9">
        <v>0</v>
      </c>
      <c r="F319" s="9" t="s">
        <v>50</v>
      </c>
      <c r="G319" s="9" t="s">
        <v>812</v>
      </c>
      <c r="H319" s="9"/>
      <c r="I319" s="9" t="s">
        <v>813</v>
      </c>
      <c r="J319" s="9" t="s">
        <v>53</v>
      </c>
      <c r="K319" s="9" t="s">
        <v>54</v>
      </c>
      <c r="L319" s="9" t="s">
        <v>55</v>
      </c>
      <c r="M319" s="9" t="s">
        <v>56</v>
      </c>
      <c r="N319" s="9" t="s">
        <v>344</v>
      </c>
      <c r="O319" s="9">
        <v>6</v>
      </c>
      <c r="P319" s="9" t="s">
        <v>58</v>
      </c>
      <c r="Q319" s="9">
        <v>570</v>
      </c>
      <c r="R319" s="9">
        <v>12</v>
      </c>
      <c r="S319" s="9"/>
      <c r="T319" s="9">
        <v>180</v>
      </c>
      <c r="U319" s="9">
        <v>2</v>
      </c>
      <c r="V319" s="9">
        <v>1</v>
      </c>
      <c r="W319" s="9">
        <v>1</v>
      </c>
      <c r="X319" s="9">
        <v>150</v>
      </c>
      <c r="Y319" s="9">
        <v>123.21891</v>
      </c>
      <c r="Z319" s="9">
        <v>3</v>
      </c>
      <c r="AA319" s="9">
        <v>384</v>
      </c>
      <c r="AB319" s="9">
        <v>384</v>
      </c>
      <c r="AC319" s="9" t="s">
        <v>345</v>
      </c>
      <c r="AD319" s="9">
        <v>3</v>
      </c>
      <c r="AE319" s="9">
        <v>3.3</v>
      </c>
      <c r="AF319" s="9" t="s">
        <v>76</v>
      </c>
      <c r="AG319" s="9"/>
      <c r="AH319" s="9" t="s">
        <v>77</v>
      </c>
      <c r="AI319" s="9">
        <v>80</v>
      </c>
      <c r="AJ319" s="9">
        <v>100</v>
      </c>
      <c r="AK319" s="9" t="s">
        <v>1210</v>
      </c>
      <c r="AL319" s="9">
        <v>13</v>
      </c>
      <c r="AM319" s="9">
        <v>1</v>
      </c>
      <c r="AN319" s="9" t="s">
        <v>63</v>
      </c>
      <c r="AO319" s="9" t="s">
        <v>527</v>
      </c>
      <c r="AP319" s="9" t="s">
        <v>349</v>
      </c>
      <c r="AQ319" s="9" t="s">
        <v>528</v>
      </c>
      <c r="AR319" s="9" t="s">
        <v>528</v>
      </c>
      <c r="AS319" s="9" t="s">
        <v>68</v>
      </c>
      <c r="AT319" s="9" t="s">
        <v>69</v>
      </c>
      <c r="AU319" s="9" t="s">
        <v>214</v>
      </c>
      <c r="AV319" s="9">
        <v>33</v>
      </c>
    </row>
    <row r="320" spans="1:48">
      <c r="A320" s="9">
        <f t="shared" si="4"/>
        <v>319</v>
      </c>
      <c r="B320" s="9" t="s">
        <v>1204</v>
      </c>
      <c r="C320" s="9" t="s">
        <v>1211</v>
      </c>
      <c r="D320" s="9">
        <v>1</v>
      </c>
      <c r="E320" s="9">
        <v>1</v>
      </c>
      <c r="F320" s="9" t="s">
        <v>50</v>
      </c>
      <c r="G320" s="9" t="s">
        <v>807</v>
      </c>
      <c r="H320" s="9"/>
      <c r="I320" s="9" t="s">
        <v>808</v>
      </c>
      <c r="J320" s="9" t="s">
        <v>53</v>
      </c>
      <c r="K320" s="9" t="s">
        <v>54</v>
      </c>
      <c r="L320" s="9" t="s">
        <v>82</v>
      </c>
      <c r="M320" s="9" t="s">
        <v>56</v>
      </c>
      <c r="N320" s="9" t="s">
        <v>344</v>
      </c>
      <c r="O320" s="9">
        <v>5</v>
      </c>
      <c r="P320" s="9" t="s">
        <v>58</v>
      </c>
      <c r="Q320" s="9">
        <v>3410</v>
      </c>
      <c r="R320" s="9">
        <v>44</v>
      </c>
      <c r="S320" s="9"/>
      <c r="T320" s="9">
        <v>180</v>
      </c>
      <c r="U320" s="9">
        <v>7</v>
      </c>
      <c r="V320" s="9">
        <v>1</v>
      </c>
      <c r="W320" s="9">
        <v>1</v>
      </c>
      <c r="X320" s="9">
        <v>200</v>
      </c>
      <c r="Y320" s="9">
        <v>123.218948</v>
      </c>
      <c r="Z320" s="9">
        <v>3</v>
      </c>
      <c r="AA320" s="9">
        <v>384</v>
      </c>
      <c r="AB320" s="9">
        <v>384</v>
      </c>
      <c r="AC320" s="9" t="s">
        <v>345</v>
      </c>
      <c r="AD320" s="9">
        <v>3</v>
      </c>
      <c r="AE320" s="9">
        <v>3.3</v>
      </c>
      <c r="AF320" s="9" t="s">
        <v>809</v>
      </c>
      <c r="AG320" s="9"/>
      <c r="AH320" s="9" t="s">
        <v>61</v>
      </c>
      <c r="AI320" s="9">
        <v>60</v>
      </c>
      <c r="AJ320" s="9">
        <v>100</v>
      </c>
      <c r="AK320" s="9" t="s">
        <v>1212</v>
      </c>
      <c r="AL320" s="9">
        <v>2</v>
      </c>
      <c r="AM320" s="9">
        <v>1</v>
      </c>
      <c r="AN320" s="9" t="s">
        <v>63</v>
      </c>
      <c r="AO320" s="9" t="s">
        <v>527</v>
      </c>
      <c r="AP320" s="9" t="s">
        <v>349</v>
      </c>
      <c r="AQ320" s="9" t="s">
        <v>528</v>
      </c>
      <c r="AR320" s="9" t="s">
        <v>528</v>
      </c>
      <c r="AS320" s="9" t="s">
        <v>68</v>
      </c>
      <c r="AT320" s="9" t="s">
        <v>69</v>
      </c>
      <c r="AU320" s="9" t="s">
        <v>214</v>
      </c>
      <c r="AV320" s="9">
        <v>33</v>
      </c>
    </row>
    <row r="321" spans="1:48">
      <c r="A321" s="9">
        <f t="shared" si="4"/>
        <v>320</v>
      </c>
      <c r="B321" s="9" t="s">
        <v>1204</v>
      </c>
      <c r="C321" s="9" t="s">
        <v>1213</v>
      </c>
      <c r="D321" s="9">
        <v>0</v>
      </c>
      <c r="E321" s="9">
        <v>0</v>
      </c>
      <c r="F321" s="9" t="s">
        <v>72</v>
      </c>
      <c r="G321" s="9" t="s">
        <v>823</v>
      </c>
      <c r="H321" s="9"/>
      <c r="I321" s="9" t="s">
        <v>824</v>
      </c>
      <c r="J321" s="9" t="s">
        <v>53</v>
      </c>
      <c r="K321" s="9" t="s">
        <v>54</v>
      </c>
      <c r="L321" s="9" t="s">
        <v>55</v>
      </c>
      <c r="M321" s="9" t="s">
        <v>56</v>
      </c>
      <c r="N321" s="9" t="s">
        <v>344</v>
      </c>
      <c r="O321" s="9">
        <v>10</v>
      </c>
      <c r="P321" s="9" t="s">
        <v>58</v>
      </c>
      <c r="Q321" s="9">
        <v>3000</v>
      </c>
      <c r="R321" s="9">
        <v>72</v>
      </c>
      <c r="S321" s="9"/>
      <c r="T321" s="9">
        <v>180</v>
      </c>
      <c r="U321" s="9">
        <v>15</v>
      </c>
      <c r="V321" s="9">
        <v>1</v>
      </c>
      <c r="W321" s="9">
        <v>2</v>
      </c>
      <c r="X321" s="9">
        <v>240</v>
      </c>
      <c r="Y321" s="9">
        <v>123.21891</v>
      </c>
      <c r="Z321" s="9">
        <v>3</v>
      </c>
      <c r="AA321" s="9">
        <v>416</v>
      </c>
      <c r="AB321" s="9">
        <v>416</v>
      </c>
      <c r="AC321" s="9" t="s">
        <v>825</v>
      </c>
      <c r="AD321" s="9">
        <v>3</v>
      </c>
      <c r="AE321" s="9">
        <v>3.6</v>
      </c>
      <c r="AF321" s="9" t="s">
        <v>826</v>
      </c>
      <c r="AG321" s="9"/>
      <c r="AH321" s="9" t="s">
        <v>77</v>
      </c>
      <c r="AI321" s="9">
        <v>70</v>
      </c>
      <c r="AJ321" s="9">
        <v>100</v>
      </c>
      <c r="AK321" s="9" t="s">
        <v>1214</v>
      </c>
      <c r="AL321" s="9">
        <v>15</v>
      </c>
      <c r="AM321" s="9">
        <v>1</v>
      </c>
      <c r="AN321" s="9" t="s">
        <v>63</v>
      </c>
      <c r="AO321" s="9" t="s">
        <v>527</v>
      </c>
      <c r="AP321" s="9" t="s">
        <v>349</v>
      </c>
      <c r="AQ321" s="9" t="s">
        <v>528</v>
      </c>
      <c r="AR321" s="9" t="s">
        <v>528</v>
      </c>
      <c r="AS321" s="9" t="s">
        <v>68</v>
      </c>
      <c r="AT321" s="9" t="s">
        <v>69</v>
      </c>
      <c r="AU321" s="9" t="s">
        <v>214</v>
      </c>
      <c r="AV321" s="9">
        <v>25</v>
      </c>
    </row>
    <row r="322" spans="1:48">
      <c r="A322" s="9">
        <f t="shared" si="4"/>
        <v>321</v>
      </c>
      <c r="B322" s="9" t="s">
        <v>1204</v>
      </c>
      <c r="C322" s="9" t="s">
        <v>1215</v>
      </c>
      <c r="D322" s="9">
        <v>1</v>
      </c>
      <c r="E322" s="9">
        <v>1</v>
      </c>
      <c r="F322" s="9" t="s">
        <v>72</v>
      </c>
      <c r="G322" s="9" t="s">
        <v>801</v>
      </c>
      <c r="H322" s="9"/>
      <c r="I322" s="9" t="s">
        <v>802</v>
      </c>
      <c r="J322" s="9" t="s">
        <v>53</v>
      </c>
      <c r="K322" s="9" t="s">
        <v>54</v>
      </c>
      <c r="L322" s="9" t="s">
        <v>803</v>
      </c>
      <c r="M322" s="9" t="s">
        <v>56</v>
      </c>
      <c r="N322" s="9" t="s">
        <v>344</v>
      </c>
      <c r="O322" s="9">
        <v>7</v>
      </c>
      <c r="P322" s="9" t="s">
        <v>58</v>
      </c>
      <c r="Q322" s="9">
        <v>3630</v>
      </c>
      <c r="R322" s="9">
        <v>25</v>
      </c>
      <c r="S322" s="9"/>
      <c r="T322" s="9">
        <v>180</v>
      </c>
      <c r="U322" s="9">
        <v>5</v>
      </c>
      <c r="V322" s="9">
        <v>1</v>
      </c>
      <c r="W322" s="9">
        <v>1</v>
      </c>
      <c r="X322" s="9">
        <v>171</v>
      </c>
      <c r="Y322" s="9">
        <v>123.218943</v>
      </c>
      <c r="Z322" s="9">
        <v>3</v>
      </c>
      <c r="AA322" s="9">
        <v>384</v>
      </c>
      <c r="AB322" s="9">
        <v>348</v>
      </c>
      <c r="AC322" s="9" t="s">
        <v>345</v>
      </c>
      <c r="AD322" s="9">
        <v>3</v>
      </c>
      <c r="AE322" s="9">
        <v>3.3</v>
      </c>
      <c r="AF322" s="9" t="s">
        <v>804</v>
      </c>
      <c r="AG322" s="9"/>
      <c r="AH322" s="9" t="s">
        <v>77</v>
      </c>
      <c r="AI322" s="9">
        <v>90</v>
      </c>
      <c r="AJ322" s="9">
        <v>90.625</v>
      </c>
      <c r="AK322" s="9" t="s">
        <v>1206</v>
      </c>
      <c r="AL322" s="9">
        <v>36</v>
      </c>
      <c r="AM322" s="9">
        <v>1</v>
      </c>
      <c r="AN322" s="9" t="s">
        <v>63</v>
      </c>
      <c r="AO322" s="9" t="s">
        <v>527</v>
      </c>
      <c r="AP322" s="9" t="s">
        <v>349</v>
      </c>
      <c r="AQ322" s="9" t="s">
        <v>528</v>
      </c>
      <c r="AR322" s="9" t="s">
        <v>528</v>
      </c>
      <c r="AS322" s="9" t="s">
        <v>68</v>
      </c>
      <c r="AT322" s="9" t="s">
        <v>69</v>
      </c>
      <c r="AU322" s="9" t="s">
        <v>214</v>
      </c>
      <c r="AV322" s="9">
        <v>36</v>
      </c>
    </row>
    <row r="323" spans="1:48">
      <c r="A323" s="9">
        <f t="shared" ref="A323:A337" si="5">ROW()-1</f>
        <v>322</v>
      </c>
      <c r="B323" s="9" t="s">
        <v>1216</v>
      </c>
      <c r="C323" s="9" t="s">
        <v>1217</v>
      </c>
      <c r="D323" s="9">
        <v>1</v>
      </c>
      <c r="E323" s="9">
        <v>1</v>
      </c>
      <c r="F323" s="9" t="s">
        <v>91</v>
      </c>
      <c r="G323" s="9" t="s">
        <v>1218</v>
      </c>
      <c r="H323" s="9"/>
      <c r="I323" s="9"/>
      <c r="J323" s="9" t="s">
        <v>53</v>
      </c>
      <c r="K323" s="9" t="s">
        <v>97</v>
      </c>
      <c r="L323" s="9" t="s">
        <v>113</v>
      </c>
      <c r="M323" s="9" t="s">
        <v>56</v>
      </c>
      <c r="N323" s="9" t="s">
        <v>99</v>
      </c>
      <c r="O323" s="9">
        <v>701</v>
      </c>
      <c r="P323" s="9" t="s">
        <v>58</v>
      </c>
      <c r="Q323" s="10">
        <v>2153.88940429687</v>
      </c>
      <c r="R323" s="9">
        <v>20</v>
      </c>
      <c r="S323" s="9"/>
      <c r="T323" s="9">
        <v>90</v>
      </c>
      <c r="U323" s="9">
        <v>13</v>
      </c>
      <c r="V323" s="9">
        <v>1</v>
      </c>
      <c r="W323" s="9">
        <v>3</v>
      </c>
      <c r="X323" s="9">
        <v>277</v>
      </c>
      <c r="Y323" s="9">
        <v>63.891884</v>
      </c>
      <c r="Z323" s="9">
        <v>1.5</v>
      </c>
      <c r="AA323" s="9">
        <v>336</v>
      </c>
      <c r="AB323" s="9">
        <v>336</v>
      </c>
      <c r="AC323" s="9" t="s">
        <v>1219</v>
      </c>
      <c r="AD323" s="9">
        <v>3</v>
      </c>
      <c r="AE323" s="9">
        <v>3.3</v>
      </c>
      <c r="AF323" s="9" t="s">
        <v>1220</v>
      </c>
      <c r="AG323" s="9"/>
      <c r="AH323" s="9" t="s">
        <v>77</v>
      </c>
      <c r="AI323" s="10">
        <v>69.047622680664</v>
      </c>
      <c r="AJ323" s="10">
        <v>135.483868916829</v>
      </c>
      <c r="AK323" s="9" t="s">
        <v>1221</v>
      </c>
      <c r="AL323" s="9">
        <v>11</v>
      </c>
      <c r="AM323" s="9">
        <v>1</v>
      </c>
      <c r="AN323" s="9" t="s">
        <v>103</v>
      </c>
      <c r="AO323" s="9" t="s">
        <v>369</v>
      </c>
      <c r="AP323" s="9" t="s">
        <v>370</v>
      </c>
      <c r="AQ323" s="9" t="s">
        <v>106</v>
      </c>
      <c r="AR323" s="9"/>
      <c r="AS323" s="9" t="s">
        <v>68</v>
      </c>
      <c r="AT323" s="9" t="s">
        <v>69</v>
      </c>
      <c r="AU323" s="9"/>
      <c r="AV323" s="9">
        <v>13</v>
      </c>
    </row>
    <row r="324" spans="1:48">
      <c r="A324" s="9">
        <f t="shared" si="5"/>
        <v>323</v>
      </c>
      <c r="B324" s="9" t="s">
        <v>1216</v>
      </c>
      <c r="C324" s="9" t="s">
        <v>1222</v>
      </c>
      <c r="D324" s="9">
        <v>0</v>
      </c>
      <c r="E324" s="9">
        <v>0</v>
      </c>
      <c r="F324" s="9" t="s">
        <v>72</v>
      </c>
      <c r="G324" s="9" t="s">
        <v>318</v>
      </c>
      <c r="H324" s="9"/>
      <c r="I324" s="9"/>
      <c r="J324" s="9" t="s">
        <v>53</v>
      </c>
      <c r="K324" s="9" t="s">
        <v>97</v>
      </c>
      <c r="L324" s="9" t="s">
        <v>98</v>
      </c>
      <c r="M324" s="9" t="s">
        <v>56</v>
      </c>
      <c r="N324" s="9" t="s">
        <v>99</v>
      </c>
      <c r="O324" s="9">
        <v>501</v>
      </c>
      <c r="P324" s="9" t="s">
        <v>58</v>
      </c>
      <c r="Q324" s="10">
        <v>500.000396728515</v>
      </c>
      <c r="R324" s="9">
        <v>17</v>
      </c>
      <c r="S324" s="9"/>
      <c r="T324" s="9">
        <v>90</v>
      </c>
      <c r="U324" s="9">
        <v>8</v>
      </c>
      <c r="V324" s="9">
        <v>1</v>
      </c>
      <c r="W324" s="9">
        <v>2</v>
      </c>
      <c r="X324" s="9">
        <v>354</v>
      </c>
      <c r="Y324" s="9">
        <v>63.891936</v>
      </c>
      <c r="Z324" s="9">
        <v>1.5</v>
      </c>
      <c r="AA324" s="9">
        <v>560</v>
      </c>
      <c r="AB324" s="9">
        <v>560</v>
      </c>
      <c r="AC324" s="9" t="s">
        <v>311</v>
      </c>
      <c r="AD324" s="9">
        <v>4</v>
      </c>
      <c r="AE324" s="9">
        <v>6.066</v>
      </c>
      <c r="AF324" s="9" t="s">
        <v>1223</v>
      </c>
      <c r="AG324" s="9"/>
      <c r="AH324" s="9" t="s">
        <v>77</v>
      </c>
      <c r="AI324" s="10">
        <v>68.0232543945312</v>
      </c>
      <c r="AJ324" s="10">
        <v>88.5714285714285</v>
      </c>
      <c r="AK324" s="9" t="s">
        <v>1224</v>
      </c>
      <c r="AL324" s="9">
        <v>9</v>
      </c>
      <c r="AM324" s="9">
        <v>1</v>
      </c>
      <c r="AN324" s="9" t="s">
        <v>103</v>
      </c>
      <c r="AO324" s="9" t="s">
        <v>369</v>
      </c>
      <c r="AP324" s="9" t="s">
        <v>370</v>
      </c>
      <c r="AQ324" s="9" t="s">
        <v>106</v>
      </c>
      <c r="AR324" s="9"/>
      <c r="AS324" s="9" t="s">
        <v>68</v>
      </c>
      <c r="AT324" s="9" t="s">
        <v>69</v>
      </c>
      <c r="AU324" s="9"/>
      <c r="AV324" s="9">
        <v>18</v>
      </c>
    </row>
    <row r="325" spans="1:48">
      <c r="A325" s="9">
        <f t="shared" si="5"/>
        <v>324</v>
      </c>
      <c r="B325" s="9" t="s">
        <v>1216</v>
      </c>
      <c r="C325" s="9" t="s">
        <v>1225</v>
      </c>
      <c r="D325" s="9">
        <v>0</v>
      </c>
      <c r="E325" s="9">
        <v>0</v>
      </c>
      <c r="F325" s="9" t="s">
        <v>50</v>
      </c>
      <c r="G325" s="9" t="s">
        <v>1226</v>
      </c>
      <c r="H325" s="9"/>
      <c r="I325" s="9"/>
      <c r="J325" s="9" t="s">
        <v>53</v>
      </c>
      <c r="K325" s="9" t="s">
        <v>97</v>
      </c>
      <c r="L325" s="9" t="s">
        <v>98</v>
      </c>
      <c r="M325" s="9" t="s">
        <v>56</v>
      </c>
      <c r="N325" s="9" t="s">
        <v>99</v>
      </c>
      <c r="O325" s="9">
        <v>301</v>
      </c>
      <c r="P325" s="9" t="s">
        <v>58</v>
      </c>
      <c r="Q325" s="10">
        <v>2500.49780273437</v>
      </c>
      <c r="R325" s="9">
        <v>10</v>
      </c>
      <c r="S325" s="9"/>
      <c r="T325" s="9">
        <v>90</v>
      </c>
      <c r="U325" s="9">
        <v>10</v>
      </c>
      <c r="V325" s="9">
        <v>1</v>
      </c>
      <c r="W325" s="9">
        <v>2</v>
      </c>
      <c r="X325" s="9">
        <v>241</v>
      </c>
      <c r="Y325" s="9">
        <v>63.891936</v>
      </c>
      <c r="Z325" s="9">
        <v>1.5</v>
      </c>
      <c r="AA325" s="9">
        <v>640</v>
      </c>
      <c r="AB325" s="9">
        <v>640</v>
      </c>
      <c r="AC325" s="9" t="s">
        <v>100</v>
      </c>
      <c r="AD325" s="9">
        <v>3</v>
      </c>
      <c r="AE325" s="9">
        <v>4.561</v>
      </c>
      <c r="AF325" s="9" t="s">
        <v>1227</v>
      </c>
      <c r="AG325" s="9"/>
      <c r="AH325" s="9" t="s">
        <v>61</v>
      </c>
      <c r="AI325" s="10">
        <v>76.8472900390625</v>
      </c>
      <c r="AJ325" s="9">
        <v>100</v>
      </c>
      <c r="AK325" s="9" t="s">
        <v>1228</v>
      </c>
      <c r="AL325" s="9">
        <v>3</v>
      </c>
      <c r="AM325" s="9">
        <v>1</v>
      </c>
      <c r="AN325" s="9" t="s">
        <v>103</v>
      </c>
      <c r="AO325" s="9" t="s">
        <v>369</v>
      </c>
      <c r="AP325" s="9" t="s">
        <v>370</v>
      </c>
      <c r="AQ325" s="9" t="s">
        <v>106</v>
      </c>
      <c r="AR325" s="9"/>
      <c r="AS325" s="9" t="s">
        <v>68</v>
      </c>
      <c r="AT325" s="9" t="s">
        <v>69</v>
      </c>
      <c r="AU325" s="9"/>
      <c r="AV325" s="9">
        <v>23</v>
      </c>
    </row>
    <row r="326" spans="1:48">
      <c r="A326" s="9">
        <f t="shared" si="5"/>
        <v>325</v>
      </c>
      <c r="B326" s="9" t="s">
        <v>1216</v>
      </c>
      <c r="C326" s="9" t="s">
        <v>1229</v>
      </c>
      <c r="D326" s="9">
        <v>1</v>
      </c>
      <c r="E326" s="9">
        <v>1</v>
      </c>
      <c r="F326" s="9" t="s">
        <v>91</v>
      </c>
      <c r="G326" s="9" t="s">
        <v>1230</v>
      </c>
      <c r="H326" s="9"/>
      <c r="I326" s="9"/>
      <c r="J326" s="9" t="s">
        <v>390</v>
      </c>
      <c r="K326" s="9" t="s">
        <v>97</v>
      </c>
      <c r="L326" s="9" t="s">
        <v>98</v>
      </c>
      <c r="M326" s="9" t="s">
        <v>56</v>
      </c>
      <c r="N326" s="9" t="s">
        <v>392</v>
      </c>
      <c r="O326" s="9">
        <v>601</v>
      </c>
      <c r="P326" s="9" t="s">
        <v>58</v>
      </c>
      <c r="Q326" s="10">
        <v>2863.44311523437</v>
      </c>
      <c r="R326" s="9">
        <v>28</v>
      </c>
      <c r="S326" s="9">
        <v>120</v>
      </c>
      <c r="T326" s="9">
        <v>90</v>
      </c>
      <c r="U326" s="9">
        <v>17</v>
      </c>
      <c r="V326" s="9">
        <v>1</v>
      </c>
      <c r="W326" s="9">
        <v>2</v>
      </c>
      <c r="X326" s="9">
        <v>179</v>
      </c>
      <c r="Y326" s="9">
        <v>63.891936</v>
      </c>
      <c r="Z326" s="9">
        <v>1.5</v>
      </c>
      <c r="AA326" s="9">
        <v>640</v>
      </c>
      <c r="AB326" s="9">
        <v>640</v>
      </c>
      <c r="AC326" s="9" t="s">
        <v>1231</v>
      </c>
      <c r="AD326" s="9">
        <v>4</v>
      </c>
      <c r="AE326" s="9">
        <v>6.186</v>
      </c>
      <c r="AF326" s="9" t="s">
        <v>1232</v>
      </c>
      <c r="AG326" s="9"/>
      <c r="AH326" s="9" t="s">
        <v>77</v>
      </c>
      <c r="AI326" s="9">
        <v>81.5625</v>
      </c>
      <c r="AJ326" s="10">
        <v>97.5000053318234</v>
      </c>
      <c r="AK326" s="9" t="s">
        <v>1233</v>
      </c>
      <c r="AL326" s="9">
        <v>10</v>
      </c>
      <c r="AM326" s="9">
        <v>1</v>
      </c>
      <c r="AN326" s="9" t="s">
        <v>103</v>
      </c>
      <c r="AO326" s="9" t="s">
        <v>369</v>
      </c>
      <c r="AP326" s="9" t="s">
        <v>370</v>
      </c>
      <c r="AQ326" s="9" t="s">
        <v>106</v>
      </c>
      <c r="AR326" s="9"/>
      <c r="AS326" s="9" t="s">
        <v>68</v>
      </c>
      <c r="AT326" s="9" t="s">
        <v>69</v>
      </c>
      <c r="AU326" s="9"/>
      <c r="AV326" s="9">
        <v>20</v>
      </c>
    </row>
    <row r="327" spans="1:48">
      <c r="A327" s="9">
        <f t="shared" si="5"/>
        <v>326</v>
      </c>
      <c r="B327" s="9" t="s">
        <v>1216</v>
      </c>
      <c r="C327" s="9" t="s">
        <v>1234</v>
      </c>
      <c r="D327" s="9">
        <v>1</v>
      </c>
      <c r="E327" s="9">
        <v>1</v>
      </c>
      <c r="F327" s="9" t="s">
        <v>50</v>
      </c>
      <c r="G327" s="9" t="s">
        <v>385</v>
      </c>
      <c r="H327" s="9"/>
      <c r="I327" s="9"/>
      <c r="J327" s="9" t="s">
        <v>53</v>
      </c>
      <c r="K327" s="9" t="s">
        <v>97</v>
      </c>
      <c r="L327" s="9" t="s">
        <v>113</v>
      </c>
      <c r="M327" s="9" t="s">
        <v>56</v>
      </c>
      <c r="N327" s="9" t="s">
        <v>99</v>
      </c>
      <c r="O327" s="9">
        <v>201</v>
      </c>
      <c r="P327" s="9" t="s">
        <v>58</v>
      </c>
      <c r="Q327" s="10">
        <v>3367.65991210937</v>
      </c>
      <c r="R327" s="9">
        <v>30</v>
      </c>
      <c r="S327" s="9"/>
      <c r="T327" s="9">
        <v>90</v>
      </c>
      <c r="U327" s="9">
        <v>12</v>
      </c>
      <c r="V327" s="9">
        <v>1</v>
      </c>
      <c r="W327" s="9">
        <v>1</v>
      </c>
      <c r="X327" s="9">
        <v>227</v>
      </c>
      <c r="Y327" s="9">
        <v>63.891896</v>
      </c>
      <c r="Z327" s="9">
        <v>1.5</v>
      </c>
      <c r="AA327" s="9">
        <v>448</v>
      </c>
      <c r="AB327" s="9">
        <v>448</v>
      </c>
      <c r="AC327" s="9" t="s">
        <v>692</v>
      </c>
      <c r="AD327" s="9">
        <v>3</v>
      </c>
      <c r="AE327" s="9">
        <v>4.561</v>
      </c>
      <c r="AF327" s="9" t="s">
        <v>1235</v>
      </c>
      <c r="AG327" s="9"/>
      <c r="AH327" s="9" t="s">
        <v>61</v>
      </c>
      <c r="AI327" s="10">
        <v>77.094970703125</v>
      </c>
      <c r="AJ327" s="9">
        <v>100</v>
      </c>
      <c r="AK327" s="9" t="s">
        <v>1228</v>
      </c>
      <c r="AL327" s="9">
        <v>23</v>
      </c>
      <c r="AM327" s="9">
        <v>1</v>
      </c>
      <c r="AN327" s="9" t="s">
        <v>103</v>
      </c>
      <c r="AO327" s="9" t="s">
        <v>369</v>
      </c>
      <c r="AP327" s="9" t="s">
        <v>370</v>
      </c>
      <c r="AQ327" s="9" t="s">
        <v>106</v>
      </c>
      <c r="AR327" s="9"/>
      <c r="AS327" s="9" t="s">
        <v>68</v>
      </c>
      <c r="AT327" s="9" t="s">
        <v>69</v>
      </c>
      <c r="AU327" s="9"/>
      <c r="AV327" s="9">
        <v>23</v>
      </c>
    </row>
    <row r="328" spans="1:48">
      <c r="A328" s="9">
        <f t="shared" si="5"/>
        <v>327</v>
      </c>
      <c r="B328" s="9" t="s">
        <v>1216</v>
      </c>
      <c r="C328" s="9" t="s">
        <v>1236</v>
      </c>
      <c r="D328" s="9">
        <v>1</v>
      </c>
      <c r="E328" s="9">
        <v>1</v>
      </c>
      <c r="F328" s="9" t="s">
        <v>72</v>
      </c>
      <c r="G328" s="9" t="s">
        <v>382</v>
      </c>
      <c r="H328" s="9"/>
      <c r="I328" s="9"/>
      <c r="J328" s="9" t="s">
        <v>53</v>
      </c>
      <c r="K328" s="9" t="s">
        <v>97</v>
      </c>
      <c r="L328" s="9" t="s">
        <v>113</v>
      </c>
      <c r="M328" s="9" t="s">
        <v>56</v>
      </c>
      <c r="N328" s="9" t="s">
        <v>99</v>
      </c>
      <c r="O328" s="9">
        <v>401</v>
      </c>
      <c r="P328" s="9" t="s">
        <v>58</v>
      </c>
      <c r="Q328" s="9">
        <v>1778.361328125</v>
      </c>
      <c r="R328" s="9">
        <v>20</v>
      </c>
      <c r="S328" s="9"/>
      <c r="T328" s="9">
        <v>90</v>
      </c>
      <c r="U328" s="9">
        <v>15</v>
      </c>
      <c r="V328" s="9">
        <v>1</v>
      </c>
      <c r="W328" s="9">
        <v>2</v>
      </c>
      <c r="X328" s="9">
        <v>308</v>
      </c>
      <c r="Y328" s="9">
        <v>63.891888</v>
      </c>
      <c r="Z328" s="9">
        <v>1.5</v>
      </c>
      <c r="AA328" s="9">
        <v>512</v>
      </c>
      <c r="AB328" s="9">
        <v>512</v>
      </c>
      <c r="AC328" s="9" t="s">
        <v>1237</v>
      </c>
      <c r="AD328" s="9">
        <v>4</v>
      </c>
      <c r="AE328" s="9">
        <v>6.066</v>
      </c>
      <c r="AF328" s="9" t="s">
        <v>1238</v>
      </c>
      <c r="AG328" s="9"/>
      <c r="AH328" s="9" t="s">
        <v>77</v>
      </c>
      <c r="AI328" s="10">
        <v>83.0357131958007</v>
      </c>
      <c r="AJ328" s="9">
        <v>89.0625</v>
      </c>
      <c r="AK328" s="9" t="s">
        <v>1224</v>
      </c>
      <c r="AL328" s="9">
        <v>12</v>
      </c>
      <c r="AM328" s="9">
        <v>1</v>
      </c>
      <c r="AN328" s="9" t="s">
        <v>103</v>
      </c>
      <c r="AO328" s="9" t="s">
        <v>369</v>
      </c>
      <c r="AP328" s="9" t="s">
        <v>370</v>
      </c>
      <c r="AQ328" s="9" t="s">
        <v>106</v>
      </c>
      <c r="AR328" s="9"/>
      <c r="AS328" s="9" t="s">
        <v>68</v>
      </c>
      <c r="AT328" s="9" t="s">
        <v>69</v>
      </c>
      <c r="AU328" s="9"/>
      <c r="AV328" s="9">
        <v>18</v>
      </c>
    </row>
    <row r="329" spans="1:48">
      <c r="A329" s="9">
        <f t="shared" si="5"/>
        <v>328</v>
      </c>
      <c r="B329" s="9" t="s">
        <v>1239</v>
      </c>
      <c r="C329" s="9" t="s">
        <v>1240</v>
      </c>
      <c r="D329" s="9">
        <v>1</v>
      </c>
      <c r="E329" s="9">
        <v>1</v>
      </c>
      <c r="F329" s="9" t="s">
        <v>91</v>
      </c>
      <c r="G329" s="9" t="s">
        <v>604</v>
      </c>
      <c r="H329" s="9"/>
      <c r="I329" s="9"/>
      <c r="J329" s="9" t="s">
        <v>53</v>
      </c>
      <c r="K329" s="9" t="s">
        <v>97</v>
      </c>
      <c r="L329" s="9" t="s">
        <v>113</v>
      </c>
      <c r="M329" s="9" t="s">
        <v>56</v>
      </c>
      <c r="N329" s="9" t="s">
        <v>99</v>
      </c>
      <c r="O329" s="9">
        <v>301</v>
      </c>
      <c r="P329" s="9" t="s">
        <v>58</v>
      </c>
      <c r="Q329" s="10">
        <v>2721.23388671875</v>
      </c>
      <c r="R329" s="9">
        <v>30</v>
      </c>
      <c r="S329" s="9"/>
      <c r="T329" s="9">
        <v>90</v>
      </c>
      <c r="U329" s="9">
        <v>14</v>
      </c>
      <c r="V329" s="9">
        <v>1</v>
      </c>
      <c r="W329" s="9">
        <v>1</v>
      </c>
      <c r="X329" s="9">
        <v>217</v>
      </c>
      <c r="Y329" s="9">
        <v>127.753512</v>
      </c>
      <c r="Z329" s="9">
        <v>3</v>
      </c>
      <c r="AA329" s="9">
        <v>512</v>
      </c>
      <c r="AB329" s="9">
        <v>512</v>
      </c>
      <c r="AC329" s="9" t="s">
        <v>311</v>
      </c>
      <c r="AD329" s="9">
        <v>4</v>
      </c>
      <c r="AE329" s="9">
        <v>4.4</v>
      </c>
      <c r="AF329" s="9" t="s">
        <v>742</v>
      </c>
      <c r="AG329" s="9"/>
      <c r="AH329" s="9" t="s">
        <v>61</v>
      </c>
      <c r="AI329" s="10">
        <v>119.70149230957</v>
      </c>
      <c r="AJ329" s="9">
        <v>100</v>
      </c>
      <c r="AK329" s="9" t="s">
        <v>1241</v>
      </c>
      <c r="AL329" s="9">
        <v>4</v>
      </c>
      <c r="AM329" s="9"/>
      <c r="AN329" s="9" t="s">
        <v>400</v>
      </c>
      <c r="AO329" s="9" t="s">
        <v>369</v>
      </c>
      <c r="AP329" s="9" t="s">
        <v>370</v>
      </c>
      <c r="AQ329" s="9" t="s">
        <v>896</v>
      </c>
      <c r="AR329" s="9"/>
      <c r="AS329" s="9" t="s">
        <v>68</v>
      </c>
      <c r="AT329" s="9" t="s">
        <v>69</v>
      </c>
      <c r="AU329" s="9"/>
      <c r="AV329" s="9">
        <v>30</v>
      </c>
    </row>
    <row r="330" spans="1:48">
      <c r="A330" s="9">
        <f t="shared" si="5"/>
        <v>329</v>
      </c>
      <c r="B330" s="9" t="s">
        <v>1239</v>
      </c>
      <c r="C330" s="9" t="s">
        <v>1242</v>
      </c>
      <c r="D330" s="9">
        <v>1</v>
      </c>
      <c r="E330" s="9">
        <v>1</v>
      </c>
      <c r="F330" s="9" t="s">
        <v>72</v>
      </c>
      <c r="G330" s="9" t="s">
        <v>604</v>
      </c>
      <c r="H330" s="9"/>
      <c r="I330" s="9"/>
      <c r="J330" s="9" t="s">
        <v>53</v>
      </c>
      <c r="K330" s="9" t="s">
        <v>97</v>
      </c>
      <c r="L330" s="9" t="s">
        <v>113</v>
      </c>
      <c r="M330" s="9" t="s">
        <v>56</v>
      </c>
      <c r="N330" s="9" t="s">
        <v>99</v>
      </c>
      <c r="O330" s="9">
        <v>401</v>
      </c>
      <c r="P330" s="9" t="s">
        <v>58</v>
      </c>
      <c r="Q330" s="10">
        <v>3265.46826171875</v>
      </c>
      <c r="R330" s="9">
        <v>35</v>
      </c>
      <c r="S330" s="9"/>
      <c r="T330" s="9">
        <v>90</v>
      </c>
      <c r="U330" s="9">
        <v>14</v>
      </c>
      <c r="V330" s="9">
        <v>1</v>
      </c>
      <c r="W330" s="9">
        <v>2</v>
      </c>
      <c r="X330" s="9">
        <v>217</v>
      </c>
      <c r="Y330" s="9">
        <v>127.753504</v>
      </c>
      <c r="Z330" s="9">
        <v>3</v>
      </c>
      <c r="AA330" s="9">
        <v>512</v>
      </c>
      <c r="AB330" s="9">
        <v>512</v>
      </c>
      <c r="AC330" s="9" t="s">
        <v>745</v>
      </c>
      <c r="AD330" s="9">
        <v>3.2</v>
      </c>
      <c r="AE330" s="9">
        <v>3.7</v>
      </c>
      <c r="AF330" s="9" t="s">
        <v>1243</v>
      </c>
      <c r="AG330" s="9"/>
      <c r="AH330" s="9" t="s">
        <v>77</v>
      </c>
      <c r="AI330" s="10">
        <v>120.552146911621</v>
      </c>
      <c r="AJ330" s="9">
        <v>100</v>
      </c>
      <c r="AK330" s="9" t="s">
        <v>1244</v>
      </c>
      <c r="AL330" s="9">
        <v>19</v>
      </c>
      <c r="AM330" s="9"/>
      <c r="AN330" s="9" t="s">
        <v>400</v>
      </c>
      <c r="AO330" s="9" t="s">
        <v>369</v>
      </c>
      <c r="AP330" s="9" t="s">
        <v>370</v>
      </c>
      <c r="AQ330" s="9" t="s">
        <v>896</v>
      </c>
      <c r="AR330" s="9"/>
      <c r="AS330" s="9" t="s">
        <v>68</v>
      </c>
      <c r="AT330" s="9" t="s">
        <v>69</v>
      </c>
      <c r="AU330" s="9"/>
      <c r="AV330" s="9">
        <v>35</v>
      </c>
    </row>
    <row r="331" spans="1:48">
      <c r="A331" s="9">
        <f t="shared" si="5"/>
        <v>330</v>
      </c>
      <c r="B331" s="9" t="s">
        <v>1239</v>
      </c>
      <c r="C331" s="9" t="s">
        <v>1245</v>
      </c>
      <c r="D331" s="9">
        <v>0</v>
      </c>
      <c r="E331" s="9">
        <v>0</v>
      </c>
      <c r="F331" s="9" t="s">
        <v>50</v>
      </c>
      <c r="G331" s="9" t="s">
        <v>604</v>
      </c>
      <c r="H331" s="9"/>
      <c r="I331" s="9"/>
      <c r="J331" s="9" t="s">
        <v>53</v>
      </c>
      <c r="K331" s="9" t="s">
        <v>97</v>
      </c>
      <c r="L331" s="9" t="s">
        <v>98</v>
      </c>
      <c r="M331" s="9" t="s">
        <v>56</v>
      </c>
      <c r="N331" s="9" t="s">
        <v>99</v>
      </c>
      <c r="O331" s="9">
        <v>601</v>
      </c>
      <c r="P331" s="9" t="s">
        <v>58</v>
      </c>
      <c r="Q331" s="10">
        <v>609.703979492187</v>
      </c>
      <c r="R331" s="9">
        <v>15</v>
      </c>
      <c r="S331" s="9"/>
      <c r="T331" s="9">
        <v>90</v>
      </c>
      <c r="U331" s="9">
        <v>9</v>
      </c>
      <c r="V331" s="9">
        <v>1</v>
      </c>
      <c r="W331" s="9">
        <v>3</v>
      </c>
      <c r="X331" s="9">
        <v>192</v>
      </c>
      <c r="Y331" s="9">
        <v>127.753344</v>
      </c>
      <c r="Z331" s="9">
        <v>3</v>
      </c>
      <c r="AA331" s="9">
        <v>512</v>
      </c>
      <c r="AB331" s="9">
        <v>512</v>
      </c>
      <c r="AC331" s="9" t="s">
        <v>311</v>
      </c>
      <c r="AD331" s="9">
        <v>3</v>
      </c>
      <c r="AE331" s="9">
        <v>3.3</v>
      </c>
      <c r="AF331" s="9" t="s">
        <v>740</v>
      </c>
      <c r="AG331" s="9"/>
      <c r="AH331" s="9" t="s">
        <v>77</v>
      </c>
      <c r="AI331" s="9">
        <v>100</v>
      </c>
      <c r="AJ331" s="9">
        <v>100</v>
      </c>
      <c r="AK331" s="9" t="s">
        <v>1246</v>
      </c>
      <c r="AL331" s="9">
        <v>23</v>
      </c>
      <c r="AM331" s="9"/>
      <c r="AN331" s="9" t="s">
        <v>400</v>
      </c>
      <c r="AO331" s="9" t="s">
        <v>369</v>
      </c>
      <c r="AP331" s="9" t="s">
        <v>370</v>
      </c>
      <c r="AQ331" s="9" t="s">
        <v>896</v>
      </c>
      <c r="AR331" s="9"/>
      <c r="AS331" s="9" t="s">
        <v>68</v>
      </c>
      <c r="AT331" s="9" t="s">
        <v>69</v>
      </c>
      <c r="AU331" s="9"/>
      <c r="AV331" s="9">
        <v>35</v>
      </c>
    </row>
    <row r="332" spans="1:48">
      <c r="A332" s="9">
        <f t="shared" si="5"/>
        <v>331</v>
      </c>
      <c r="B332" s="9" t="s">
        <v>1239</v>
      </c>
      <c r="C332" s="9" t="s">
        <v>1247</v>
      </c>
      <c r="D332" s="9">
        <v>1</v>
      </c>
      <c r="E332" s="9">
        <v>1</v>
      </c>
      <c r="F332" s="9" t="s">
        <v>50</v>
      </c>
      <c r="G332" s="9" t="s">
        <v>604</v>
      </c>
      <c r="H332" s="9"/>
      <c r="I332" s="9"/>
      <c r="J332" s="9" t="s">
        <v>53</v>
      </c>
      <c r="K332" s="9" t="s">
        <v>97</v>
      </c>
      <c r="L332" s="9" t="s">
        <v>113</v>
      </c>
      <c r="M332" s="9" t="s">
        <v>56</v>
      </c>
      <c r="N332" s="9" t="s">
        <v>99</v>
      </c>
      <c r="O332" s="9">
        <v>501</v>
      </c>
      <c r="P332" s="9" t="s">
        <v>58</v>
      </c>
      <c r="Q332" s="10">
        <v>3460.49462890625</v>
      </c>
      <c r="R332" s="9">
        <v>35</v>
      </c>
      <c r="S332" s="9"/>
      <c r="T332" s="9">
        <v>90</v>
      </c>
      <c r="U332" s="9">
        <v>15</v>
      </c>
      <c r="V332" s="9">
        <v>1</v>
      </c>
      <c r="W332" s="9">
        <v>2</v>
      </c>
      <c r="X332" s="9">
        <v>217</v>
      </c>
      <c r="Y332" s="9">
        <v>127.75348</v>
      </c>
      <c r="Z332" s="9">
        <v>3</v>
      </c>
      <c r="AA332" s="9">
        <v>512</v>
      </c>
      <c r="AB332" s="9">
        <v>512</v>
      </c>
      <c r="AC332" s="9" t="s">
        <v>311</v>
      </c>
      <c r="AD332" s="9">
        <v>3</v>
      </c>
      <c r="AE332" s="9">
        <v>3.3</v>
      </c>
      <c r="AF332" s="9" t="s">
        <v>736</v>
      </c>
      <c r="AG332" s="9"/>
      <c r="AH332" s="9" t="s">
        <v>77</v>
      </c>
      <c r="AI332" s="10">
        <v>119.741104125976</v>
      </c>
      <c r="AJ332" s="9">
        <v>100</v>
      </c>
      <c r="AK332" s="9" t="s">
        <v>1246</v>
      </c>
      <c r="AL332" s="9">
        <v>11</v>
      </c>
      <c r="AM332" s="9"/>
      <c r="AN332" s="9" t="s">
        <v>400</v>
      </c>
      <c r="AO332" s="9" t="s">
        <v>369</v>
      </c>
      <c r="AP332" s="9" t="s">
        <v>370</v>
      </c>
      <c r="AQ332" s="9" t="s">
        <v>896</v>
      </c>
      <c r="AR332" s="9"/>
      <c r="AS332" s="9" t="s">
        <v>68</v>
      </c>
      <c r="AT332" s="9" t="s">
        <v>69</v>
      </c>
      <c r="AU332" s="9"/>
      <c r="AV332" s="9">
        <v>35</v>
      </c>
    </row>
    <row r="333" spans="1:48">
      <c r="A333" s="9">
        <f t="shared" si="5"/>
        <v>332</v>
      </c>
      <c r="B333" s="9" t="s">
        <v>1248</v>
      </c>
      <c r="C333" s="9" t="s">
        <v>1249</v>
      </c>
      <c r="D333" s="9">
        <v>0</v>
      </c>
      <c r="E333" s="9">
        <v>0</v>
      </c>
      <c r="F333" s="9" t="s">
        <v>91</v>
      </c>
      <c r="G333" s="9" t="s">
        <v>1112</v>
      </c>
      <c r="H333" s="9"/>
      <c r="I333" s="9" t="s">
        <v>1113</v>
      </c>
      <c r="J333" s="9" t="s">
        <v>53</v>
      </c>
      <c r="K333" s="9" t="s">
        <v>54</v>
      </c>
      <c r="L333" s="9" t="s">
        <v>55</v>
      </c>
      <c r="M333" s="9" t="s">
        <v>56</v>
      </c>
      <c r="N333" s="9" t="s">
        <v>524</v>
      </c>
      <c r="O333" s="9">
        <v>7</v>
      </c>
      <c r="P333" s="9" t="s">
        <v>58</v>
      </c>
      <c r="Q333" s="9">
        <v>3000</v>
      </c>
      <c r="R333" s="9">
        <v>46</v>
      </c>
      <c r="S333" s="9"/>
      <c r="T333" s="9">
        <v>180</v>
      </c>
      <c r="U333" s="9">
        <v>6</v>
      </c>
      <c r="V333" s="9">
        <v>1</v>
      </c>
      <c r="W333" s="9">
        <v>1</v>
      </c>
      <c r="X333" s="9">
        <v>189</v>
      </c>
      <c r="Y333" s="9">
        <v>63.685278</v>
      </c>
      <c r="Z333" s="9">
        <v>1.5</v>
      </c>
      <c r="AA333" s="9">
        <v>960</v>
      </c>
      <c r="AB333" s="9">
        <v>960</v>
      </c>
      <c r="AC333" s="9" t="s">
        <v>1114</v>
      </c>
      <c r="AD333" s="9">
        <v>3</v>
      </c>
      <c r="AE333" s="9">
        <v>3.3</v>
      </c>
      <c r="AF333" s="9" t="s">
        <v>1115</v>
      </c>
      <c r="AG333" s="9"/>
      <c r="AH333" s="9" t="s">
        <v>77</v>
      </c>
      <c r="AI333" s="9">
        <v>70</v>
      </c>
      <c r="AJ333" s="9">
        <v>100</v>
      </c>
      <c r="AK333" s="9" t="s">
        <v>1250</v>
      </c>
      <c r="AL333" s="9">
        <v>13</v>
      </c>
      <c r="AM333" s="9"/>
      <c r="AN333" s="9" t="s">
        <v>63</v>
      </c>
      <c r="AO333" s="9" t="s">
        <v>1117</v>
      </c>
      <c r="AP333" s="9" t="s">
        <v>1118</v>
      </c>
      <c r="AQ333" s="9" t="s">
        <v>274</v>
      </c>
      <c r="AR333" s="9" t="s">
        <v>274</v>
      </c>
      <c r="AS333" s="9" t="s">
        <v>68</v>
      </c>
      <c r="AT333" s="9" t="s">
        <v>69</v>
      </c>
      <c r="AU333" s="9" t="s">
        <v>70</v>
      </c>
      <c r="AV333" s="9">
        <v>34</v>
      </c>
    </row>
    <row r="334" spans="1:48">
      <c r="A334" s="9">
        <f t="shared" si="5"/>
        <v>333</v>
      </c>
      <c r="B334" s="9" t="s">
        <v>1248</v>
      </c>
      <c r="C334" s="9" t="s">
        <v>1251</v>
      </c>
      <c r="D334" s="9">
        <v>0</v>
      </c>
      <c r="E334" s="9">
        <v>0</v>
      </c>
      <c r="F334" s="9" t="s">
        <v>50</v>
      </c>
      <c r="G334" s="9" t="s">
        <v>1252</v>
      </c>
      <c r="H334" s="9"/>
      <c r="I334" s="9" t="s">
        <v>52</v>
      </c>
      <c r="J334" s="9" t="s">
        <v>53</v>
      </c>
      <c r="K334" s="9" t="s">
        <v>54</v>
      </c>
      <c r="L334" s="9" t="s">
        <v>55</v>
      </c>
      <c r="M334" s="9" t="s">
        <v>56</v>
      </c>
      <c r="N334" s="9" t="s">
        <v>524</v>
      </c>
      <c r="O334" s="9">
        <v>9</v>
      </c>
      <c r="P334" s="9" t="s">
        <v>58</v>
      </c>
      <c r="Q334" s="9">
        <v>5000</v>
      </c>
      <c r="R334" s="9">
        <v>91</v>
      </c>
      <c r="S334" s="9"/>
      <c r="T334" s="9">
        <v>180</v>
      </c>
      <c r="U334" s="9">
        <v>13</v>
      </c>
      <c r="V334" s="9">
        <v>1</v>
      </c>
      <c r="W334" s="9">
        <v>1</v>
      </c>
      <c r="X334" s="9">
        <v>181</v>
      </c>
      <c r="Y334" s="9">
        <v>63.685197</v>
      </c>
      <c r="Z334" s="9">
        <v>1.5</v>
      </c>
      <c r="AA334" s="9">
        <v>800</v>
      </c>
      <c r="AB334" s="9">
        <v>800</v>
      </c>
      <c r="AC334" s="9" t="s">
        <v>378</v>
      </c>
      <c r="AD334" s="9">
        <v>3</v>
      </c>
      <c r="AE334" s="9">
        <v>3.3</v>
      </c>
      <c r="AF334" s="9" t="s">
        <v>1253</v>
      </c>
      <c r="AG334" s="9"/>
      <c r="AH334" s="9" t="s">
        <v>61</v>
      </c>
      <c r="AI334" s="9">
        <v>75</v>
      </c>
      <c r="AJ334" s="9">
        <v>100</v>
      </c>
      <c r="AK334" s="9" t="s">
        <v>1254</v>
      </c>
      <c r="AL334" s="9">
        <v>28</v>
      </c>
      <c r="AM334" s="9"/>
      <c r="AN334" s="9" t="s">
        <v>63</v>
      </c>
      <c r="AO334" s="9" t="s">
        <v>1117</v>
      </c>
      <c r="AP334" s="9" t="s">
        <v>1118</v>
      </c>
      <c r="AQ334" s="9" t="s">
        <v>274</v>
      </c>
      <c r="AR334" s="9" t="s">
        <v>274</v>
      </c>
      <c r="AS334" s="9" t="s">
        <v>68</v>
      </c>
      <c r="AT334" s="9" t="s">
        <v>69</v>
      </c>
      <c r="AU334" s="9" t="s">
        <v>70</v>
      </c>
      <c r="AV334" s="9">
        <v>36</v>
      </c>
    </row>
    <row r="335" spans="1:48">
      <c r="A335" s="9">
        <f t="shared" si="5"/>
        <v>334</v>
      </c>
      <c r="B335" s="9" t="s">
        <v>1248</v>
      </c>
      <c r="C335" s="9" t="s">
        <v>1255</v>
      </c>
      <c r="D335" s="9">
        <v>0</v>
      </c>
      <c r="E335" s="9">
        <v>0</v>
      </c>
      <c r="F335" s="9" t="s">
        <v>50</v>
      </c>
      <c r="G335" s="9" t="s">
        <v>1123</v>
      </c>
      <c r="H335" s="9"/>
      <c r="I335" s="9" t="s">
        <v>544</v>
      </c>
      <c r="J335" s="9" t="s">
        <v>53</v>
      </c>
      <c r="K335" s="9" t="s">
        <v>54</v>
      </c>
      <c r="L335" s="9" t="s">
        <v>356</v>
      </c>
      <c r="M335" s="9" t="s">
        <v>56</v>
      </c>
      <c r="N335" s="9" t="s">
        <v>524</v>
      </c>
      <c r="O335" s="9">
        <v>8</v>
      </c>
      <c r="P335" s="9" t="s">
        <v>58</v>
      </c>
      <c r="Q335" s="9">
        <v>3000</v>
      </c>
      <c r="R335" s="9">
        <v>8.8</v>
      </c>
      <c r="S335" s="9"/>
      <c r="T335" s="9">
        <v>180</v>
      </c>
      <c r="U335" s="9">
        <v>7</v>
      </c>
      <c r="V335" s="9">
        <v>1</v>
      </c>
      <c r="W335" s="9">
        <v>1</v>
      </c>
      <c r="X335" s="9">
        <v>199</v>
      </c>
      <c r="Y335" s="9">
        <v>63.685197</v>
      </c>
      <c r="Z335" s="9">
        <v>1.5</v>
      </c>
      <c r="AA335" s="9">
        <v>896</v>
      </c>
      <c r="AB335" s="9">
        <v>896</v>
      </c>
      <c r="AC335" s="9" t="s">
        <v>1124</v>
      </c>
      <c r="AD335" s="9">
        <v>3</v>
      </c>
      <c r="AE335" s="9">
        <v>3.3</v>
      </c>
      <c r="AF335" s="9" t="s">
        <v>1125</v>
      </c>
      <c r="AG335" s="9"/>
      <c r="AH335" s="9" t="s">
        <v>61</v>
      </c>
      <c r="AI335" s="9">
        <v>80</v>
      </c>
      <c r="AJ335" s="9">
        <v>100</v>
      </c>
      <c r="AK335" s="9" t="s">
        <v>1254</v>
      </c>
      <c r="AL335" s="9">
        <v>6</v>
      </c>
      <c r="AM335" s="9"/>
      <c r="AN335" s="9" t="s">
        <v>63</v>
      </c>
      <c r="AO335" s="9" t="s">
        <v>1117</v>
      </c>
      <c r="AP335" s="9" t="s">
        <v>1118</v>
      </c>
      <c r="AQ335" s="9" t="s">
        <v>274</v>
      </c>
      <c r="AR335" s="9" t="s">
        <v>274</v>
      </c>
      <c r="AS335" s="9" t="s">
        <v>68</v>
      </c>
      <c r="AT335" s="9" t="s">
        <v>69</v>
      </c>
      <c r="AU335" s="9" t="s">
        <v>70</v>
      </c>
      <c r="AV335" s="9">
        <v>36</v>
      </c>
    </row>
    <row r="336" spans="1:48">
      <c r="A336" s="9">
        <f t="shared" si="5"/>
        <v>335</v>
      </c>
      <c r="B336" s="9" t="s">
        <v>1248</v>
      </c>
      <c r="C336" s="9" t="s">
        <v>1256</v>
      </c>
      <c r="D336" s="9">
        <v>1</v>
      </c>
      <c r="E336" s="9">
        <v>1</v>
      </c>
      <c r="F336" s="9" t="s">
        <v>91</v>
      </c>
      <c r="G336" s="9" t="s">
        <v>1129</v>
      </c>
      <c r="H336" s="9"/>
      <c r="I336" s="9" t="s">
        <v>1130</v>
      </c>
      <c r="J336" s="9" t="s">
        <v>437</v>
      </c>
      <c r="K336" s="9" t="s">
        <v>97</v>
      </c>
      <c r="L336" s="9" t="s">
        <v>55</v>
      </c>
      <c r="M336" s="9" t="s">
        <v>615</v>
      </c>
      <c r="N336" s="9" t="s">
        <v>57</v>
      </c>
      <c r="O336" s="9">
        <v>3</v>
      </c>
      <c r="P336" s="9" t="s">
        <v>58</v>
      </c>
      <c r="Q336" s="9">
        <v>18.23</v>
      </c>
      <c r="R336" s="9">
        <v>6.79</v>
      </c>
      <c r="S336" s="9"/>
      <c r="T336" s="9">
        <v>25</v>
      </c>
      <c r="U336" s="9">
        <v>2</v>
      </c>
      <c r="V336" s="9">
        <v>1</v>
      </c>
      <c r="W336" s="9">
        <v>1</v>
      </c>
      <c r="X336" s="9">
        <v>226</v>
      </c>
      <c r="Y336" s="9">
        <v>63.685197</v>
      </c>
      <c r="Z336" s="9">
        <v>1.5</v>
      </c>
      <c r="AA336" s="9">
        <v>640</v>
      </c>
      <c r="AB336" s="9">
        <v>1280</v>
      </c>
      <c r="AC336" s="9" t="s">
        <v>100</v>
      </c>
      <c r="AD336" s="9">
        <v>0.6</v>
      </c>
      <c r="AE336" s="9"/>
      <c r="AF336" s="9" t="s">
        <v>1131</v>
      </c>
      <c r="AG336" s="9"/>
      <c r="AH336" s="9" t="s">
        <v>77</v>
      </c>
      <c r="AI336" s="9">
        <v>60</v>
      </c>
      <c r="AJ336" s="9">
        <v>200</v>
      </c>
      <c r="AK336" s="9" t="s">
        <v>1257</v>
      </c>
      <c r="AL336" s="9">
        <v>85</v>
      </c>
      <c r="AM336" s="9"/>
      <c r="AN336" s="9" t="s">
        <v>63</v>
      </c>
      <c r="AO336" s="9" t="s">
        <v>1117</v>
      </c>
      <c r="AP336" s="9" t="s">
        <v>1118</v>
      </c>
      <c r="AQ336" s="9" t="s">
        <v>274</v>
      </c>
      <c r="AR336" s="9" t="s">
        <v>274</v>
      </c>
      <c r="AS336" s="9" t="s">
        <v>68</v>
      </c>
      <c r="AT336" s="9" t="s">
        <v>69</v>
      </c>
      <c r="AU336" s="9" t="s">
        <v>70</v>
      </c>
      <c r="AV336" s="9">
        <v>160</v>
      </c>
    </row>
    <row r="337" spans="1:48">
      <c r="A337" s="9">
        <f t="shared" si="5"/>
        <v>336</v>
      </c>
      <c r="B337" s="9" t="s">
        <v>1248</v>
      </c>
      <c r="C337" s="9" t="s">
        <v>1258</v>
      </c>
      <c r="D337" s="9">
        <v>1</v>
      </c>
      <c r="E337" s="9">
        <v>1</v>
      </c>
      <c r="F337" s="9" t="s">
        <v>72</v>
      </c>
      <c r="G337" s="9" t="s">
        <v>1120</v>
      </c>
      <c r="H337" s="9"/>
      <c r="I337" s="9" t="s">
        <v>544</v>
      </c>
      <c r="J337" s="9" t="s">
        <v>53</v>
      </c>
      <c r="K337" s="9" t="s">
        <v>54</v>
      </c>
      <c r="L337" s="9" t="s">
        <v>343</v>
      </c>
      <c r="M337" s="9" t="s">
        <v>56</v>
      </c>
      <c r="N337" s="9" t="s">
        <v>524</v>
      </c>
      <c r="O337" s="9">
        <v>4</v>
      </c>
      <c r="P337" s="9" t="s">
        <v>58</v>
      </c>
      <c r="Q337" s="9">
        <v>3400</v>
      </c>
      <c r="R337" s="9">
        <v>42</v>
      </c>
      <c r="S337" s="9"/>
      <c r="T337" s="9">
        <v>150</v>
      </c>
      <c r="U337" s="9">
        <v>7</v>
      </c>
      <c r="V337" s="9">
        <v>1</v>
      </c>
      <c r="W337" s="9">
        <v>1</v>
      </c>
      <c r="X337" s="9">
        <v>191</v>
      </c>
      <c r="Y337" s="9">
        <v>63.685234</v>
      </c>
      <c r="Z337" s="9">
        <v>1.5</v>
      </c>
      <c r="AA337" s="9">
        <v>640</v>
      </c>
      <c r="AB337" s="9">
        <v>640</v>
      </c>
      <c r="AC337" s="9" t="s">
        <v>298</v>
      </c>
      <c r="AD337" s="9">
        <v>3</v>
      </c>
      <c r="AE337" s="9">
        <v>3.3</v>
      </c>
      <c r="AF337" s="9" t="s">
        <v>234</v>
      </c>
      <c r="AG337" s="9"/>
      <c r="AH337" s="9" t="s">
        <v>77</v>
      </c>
      <c r="AI337" s="9">
        <v>80</v>
      </c>
      <c r="AJ337" s="9">
        <v>100</v>
      </c>
      <c r="AK337" s="9" t="s">
        <v>1259</v>
      </c>
      <c r="AL337" s="9">
        <v>21</v>
      </c>
      <c r="AM337" s="9"/>
      <c r="AN337" s="9" t="s">
        <v>63</v>
      </c>
      <c r="AO337" s="9" t="s">
        <v>1117</v>
      </c>
      <c r="AP337" s="9" t="s">
        <v>1118</v>
      </c>
      <c r="AQ337" s="9" t="s">
        <v>274</v>
      </c>
      <c r="AR337" s="9" t="s">
        <v>274</v>
      </c>
      <c r="AS337" s="9" t="s">
        <v>68</v>
      </c>
      <c r="AT337" s="9" t="s">
        <v>69</v>
      </c>
      <c r="AU337" s="9" t="s">
        <v>70</v>
      </c>
      <c r="AV337" s="9">
        <v>32</v>
      </c>
    </row>
  </sheetData>
  <autoFilter xmlns:etc="http://www.wps.cn/officeDocument/2017/etCustomData" ref="A1:AV33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4"/>
  <sheetViews>
    <sheetView topLeftCell="A34" workbookViewId="0">
      <selection activeCell="A48" sqref="A48"/>
    </sheetView>
  </sheetViews>
  <sheetFormatPr defaultColWidth="8.88888888888889" defaultRowHeight="14.4" outlineLevelCol="1"/>
  <cols>
    <col min="1" max="1" width="31.5555555555556" customWidth="1"/>
    <col min="2" max="2" width="141.666666666667" customWidth="1"/>
  </cols>
  <sheetData>
    <row r="1" spans="1:2">
      <c r="A1" s="7" t="s">
        <v>1</v>
      </c>
      <c r="B1" s="7" t="s">
        <v>1260</v>
      </c>
    </row>
    <row r="2" spans="1:2">
      <c r="A2" s="8" t="s">
        <v>2</v>
      </c>
      <c r="B2" s="8" t="s">
        <v>1261</v>
      </c>
    </row>
    <row r="3" spans="1:2">
      <c r="A3" s="7" t="s">
        <v>3</v>
      </c>
      <c r="B3" s="7" t="s">
        <v>1262</v>
      </c>
    </row>
    <row r="4" spans="1:2">
      <c r="A4" s="8" t="s">
        <v>4</v>
      </c>
      <c r="B4" s="8" t="s">
        <v>1263</v>
      </c>
    </row>
    <row r="5" spans="1:2">
      <c r="A5" s="7" t="s">
        <v>5</v>
      </c>
      <c r="B5" s="7" t="s">
        <v>1264</v>
      </c>
    </row>
    <row r="6" spans="1:2">
      <c r="A6" s="8" t="s">
        <v>6</v>
      </c>
      <c r="B6" s="8" t="s">
        <v>1265</v>
      </c>
    </row>
    <row r="7" spans="1:2">
      <c r="A7" s="7" t="s">
        <v>7</v>
      </c>
      <c r="B7" s="7" t="s">
        <v>1266</v>
      </c>
    </row>
    <row r="8" spans="1:2">
      <c r="A8" s="8" t="s">
        <v>8</v>
      </c>
      <c r="B8" s="8" t="s">
        <v>1267</v>
      </c>
    </row>
    <row r="9" spans="1:2">
      <c r="A9" s="7" t="s">
        <v>9</v>
      </c>
      <c r="B9" s="7" t="s">
        <v>1268</v>
      </c>
    </row>
    <row r="10" spans="1:2">
      <c r="A10" s="8" t="s">
        <v>10</v>
      </c>
      <c r="B10" s="8" t="s">
        <v>1269</v>
      </c>
    </row>
    <row r="11" spans="1:2">
      <c r="A11" s="7" t="s">
        <v>11</v>
      </c>
      <c r="B11" s="7" t="s">
        <v>1270</v>
      </c>
    </row>
    <row r="12" spans="1:2">
      <c r="A12" s="8" t="s">
        <v>12</v>
      </c>
      <c r="B12" s="8" t="s">
        <v>1271</v>
      </c>
    </row>
    <row r="13" spans="1:2">
      <c r="A13" s="7" t="s">
        <v>13</v>
      </c>
      <c r="B13" s="7" t="s">
        <v>1272</v>
      </c>
    </row>
    <row r="14" spans="1:2">
      <c r="A14" s="8" t="s">
        <v>14</v>
      </c>
      <c r="B14" s="8" t="s">
        <v>1273</v>
      </c>
    </row>
    <row r="15" spans="1:2">
      <c r="A15" s="7" t="s">
        <v>15</v>
      </c>
      <c r="B15" s="7" t="s">
        <v>1274</v>
      </c>
    </row>
    <row r="16" spans="1:2">
      <c r="A16" s="8" t="s">
        <v>16</v>
      </c>
      <c r="B16" s="8" t="s">
        <v>1275</v>
      </c>
    </row>
    <row r="17" spans="1:2">
      <c r="A17" s="7" t="s">
        <v>17</v>
      </c>
      <c r="B17" s="7" t="s">
        <v>1276</v>
      </c>
    </row>
    <row r="18" spans="1:2">
      <c r="A18" s="8" t="s">
        <v>18</v>
      </c>
      <c r="B18" s="8" t="s">
        <v>1277</v>
      </c>
    </row>
    <row r="19" spans="1:2">
      <c r="A19" s="7" t="s">
        <v>19</v>
      </c>
      <c r="B19" s="7" t="s">
        <v>1278</v>
      </c>
    </row>
    <row r="20" spans="1:2">
      <c r="A20" s="8" t="s">
        <v>20</v>
      </c>
      <c r="B20" s="8" t="s">
        <v>1279</v>
      </c>
    </row>
    <row r="21" spans="1:2">
      <c r="A21" s="7" t="s">
        <v>21</v>
      </c>
      <c r="B21" s="7" t="s">
        <v>1280</v>
      </c>
    </row>
    <row r="22" spans="1:2">
      <c r="A22" s="8" t="s">
        <v>22</v>
      </c>
      <c r="B22" s="8" t="s">
        <v>1281</v>
      </c>
    </row>
    <row r="23" spans="1:2">
      <c r="A23" s="7" t="s">
        <v>23</v>
      </c>
      <c r="B23" s="7" t="s">
        <v>1282</v>
      </c>
    </row>
    <row r="24" spans="1:2">
      <c r="A24" s="8" t="s">
        <v>24</v>
      </c>
      <c r="B24" s="8" t="s">
        <v>1283</v>
      </c>
    </row>
    <row r="25" spans="1:2">
      <c r="A25" s="7" t="s">
        <v>25</v>
      </c>
      <c r="B25" s="7" t="s">
        <v>1284</v>
      </c>
    </row>
    <row r="26" spans="1:2">
      <c r="A26" s="8" t="s">
        <v>26</v>
      </c>
      <c r="B26" s="8" t="s">
        <v>1285</v>
      </c>
    </row>
    <row r="27" spans="1:2">
      <c r="A27" s="7" t="s">
        <v>27</v>
      </c>
      <c r="B27" s="7" t="s">
        <v>1286</v>
      </c>
    </row>
    <row r="28" spans="1:2">
      <c r="A28" s="8" t="s">
        <v>28</v>
      </c>
      <c r="B28" s="8" t="s">
        <v>1287</v>
      </c>
    </row>
    <row r="29" spans="1:2">
      <c r="A29" s="7" t="s">
        <v>29</v>
      </c>
      <c r="B29" s="7" t="s">
        <v>1288</v>
      </c>
    </row>
    <row r="30" spans="1:2">
      <c r="A30" s="8" t="s">
        <v>30</v>
      </c>
      <c r="B30" s="8" t="s">
        <v>1289</v>
      </c>
    </row>
    <row r="31" spans="1:2">
      <c r="A31" s="7" t="s">
        <v>31</v>
      </c>
      <c r="B31" s="7" t="s">
        <v>1290</v>
      </c>
    </row>
    <row r="32" spans="1:2">
      <c r="A32" s="8" t="s">
        <v>32</v>
      </c>
      <c r="B32" s="8" t="s">
        <v>1291</v>
      </c>
    </row>
    <row r="33" spans="1:2">
      <c r="A33" s="7" t="s">
        <v>33</v>
      </c>
      <c r="B33" s="7" t="s">
        <v>1292</v>
      </c>
    </row>
    <row r="34" spans="1:2">
      <c r="A34" s="8" t="s">
        <v>34</v>
      </c>
      <c r="B34" s="8" t="s">
        <v>1293</v>
      </c>
    </row>
    <row r="35" spans="1:2">
      <c r="A35" s="7" t="s">
        <v>35</v>
      </c>
      <c r="B35" s="7" t="s">
        <v>1294</v>
      </c>
    </row>
    <row r="36" spans="1:2">
      <c r="A36" s="8" t="s">
        <v>36</v>
      </c>
      <c r="B36" s="8" t="s">
        <v>1295</v>
      </c>
    </row>
    <row r="37" spans="1:2">
      <c r="A37" s="7" t="s">
        <v>37</v>
      </c>
      <c r="B37" s="7" t="s">
        <v>1296</v>
      </c>
    </row>
    <row r="38" spans="1:2">
      <c r="A38" s="8" t="s">
        <v>38</v>
      </c>
      <c r="B38" s="8" t="s">
        <v>1297</v>
      </c>
    </row>
    <row r="39" spans="1:2">
      <c r="A39" s="7" t="s">
        <v>39</v>
      </c>
      <c r="B39" s="7" t="s">
        <v>1298</v>
      </c>
    </row>
    <row r="40" spans="1:2">
      <c r="A40" s="8" t="s">
        <v>40</v>
      </c>
      <c r="B40" s="8" t="s">
        <v>1299</v>
      </c>
    </row>
    <row r="41" spans="1:2">
      <c r="A41" s="7" t="s">
        <v>41</v>
      </c>
      <c r="B41" s="7" t="s">
        <v>1300</v>
      </c>
    </row>
    <row r="42" spans="1:2">
      <c r="A42" s="8" t="s">
        <v>42</v>
      </c>
      <c r="B42" s="8" t="s">
        <v>1301</v>
      </c>
    </row>
    <row r="43" spans="1:2">
      <c r="A43" s="7" t="s">
        <v>43</v>
      </c>
      <c r="B43" s="7" t="s">
        <v>1302</v>
      </c>
    </row>
    <row r="44" spans="1:2">
      <c r="A44" s="8" t="s">
        <v>44</v>
      </c>
      <c r="B44" s="8" t="s">
        <v>1303</v>
      </c>
    </row>
    <row r="45" spans="1:2">
      <c r="A45" s="7" t="s">
        <v>45</v>
      </c>
      <c r="B45" s="7" t="s">
        <v>1304</v>
      </c>
    </row>
    <row r="46" spans="1:2">
      <c r="A46" s="8" t="s">
        <v>46</v>
      </c>
      <c r="B46" s="8" t="s">
        <v>1305</v>
      </c>
    </row>
    <row r="47" spans="1:2">
      <c r="A47" s="7" t="s">
        <v>1306</v>
      </c>
      <c r="B47" s="7" t="s">
        <v>1307</v>
      </c>
    </row>
    <row r="48" spans="1:2">
      <c r="A48" s="8" t="s">
        <v>1308</v>
      </c>
      <c r="B48" s="8" t="s">
        <v>1309</v>
      </c>
    </row>
    <row r="49" spans="1:2">
      <c r="A49" s="7" t="s">
        <v>1310</v>
      </c>
      <c r="B49" s="7" t="s">
        <v>1311</v>
      </c>
    </row>
    <row r="50" spans="1:2">
      <c r="A50" s="8" t="s">
        <v>47</v>
      </c>
      <c r="B50" s="8" t="s">
        <v>1312</v>
      </c>
    </row>
    <row r="51" spans="1:2">
      <c r="A51" s="7" t="s">
        <v>1313</v>
      </c>
      <c r="B51" s="7" t="s">
        <v>1314</v>
      </c>
    </row>
    <row r="52" ht="27.6" spans="1:2">
      <c r="A52" s="8" t="s">
        <v>1315</v>
      </c>
      <c r="B52" s="8" t="s">
        <v>1316</v>
      </c>
    </row>
    <row r="53" spans="1:2">
      <c r="A53" s="7" t="s">
        <v>1317</v>
      </c>
      <c r="B53" s="7" t="s">
        <v>1318</v>
      </c>
    </row>
    <row r="54" spans="1:2">
      <c r="A54" s="8" t="s">
        <v>1319</v>
      </c>
      <c r="B54" s="8" t="s">
        <v>1320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9"/>
  <sheetViews>
    <sheetView workbookViewId="0">
      <selection activeCell="C16" sqref="C16"/>
    </sheetView>
  </sheetViews>
  <sheetFormatPr defaultColWidth="10" defaultRowHeight="15" customHeight="1"/>
  <cols>
    <col min="1" max="1" width="28.1111111111111" style="4" customWidth="1"/>
    <col min="2" max="16384" width="10" style="4"/>
  </cols>
  <sheetData>
    <row r="1" s="4" customFormat="1" customHeight="1" spans="1:14">
      <c r="A1" s="5" t="s">
        <v>1</v>
      </c>
      <c r="B1" s="5" t="s">
        <v>1321</v>
      </c>
      <c r="C1" s="5" t="s">
        <v>1322</v>
      </c>
      <c r="D1" s="5" t="s">
        <v>1323</v>
      </c>
      <c r="E1" s="5" t="s">
        <v>1324</v>
      </c>
      <c r="F1" s="5" t="s">
        <v>1325</v>
      </c>
      <c r="G1" s="5" t="s">
        <v>1326</v>
      </c>
      <c r="H1" s="5" t="s">
        <v>1327</v>
      </c>
      <c r="I1" s="5" t="s">
        <v>1328</v>
      </c>
      <c r="J1" s="5" t="s">
        <v>1329</v>
      </c>
      <c r="K1" s="5" t="s">
        <v>1330</v>
      </c>
      <c r="L1" s="5" t="s">
        <v>1331</v>
      </c>
      <c r="M1" s="5" t="s">
        <v>1332</v>
      </c>
      <c r="N1" s="5" t="s">
        <v>1333</v>
      </c>
    </row>
    <row r="2" s="4" customFormat="1" customHeight="1" spans="1:14">
      <c r="A2" s="5" t="s">
        <v>48</v>
      </c>
      <c r="B2" s="6" t="s">
        <v>1334</v>
      </c>
      <c r="C2" s="5">
        <v>0</v>
      </c>
      <c r="D2" s="5">
        <v>0</v>
      </c>
      <c r="E2" s="5">
        <v>0</v>
      </c>
      <c r="F2" s="5">
        <v>0</v>
      </c>
      <c r="G2" s="5">
        <v>0</v>
      </c>
      <c r="H2" s="5">
        <v>0</v>
      </c>
      <c r="I2" s="5">
        <v>1</v>
      </c>
      <c r="J2" s="5">
        <v>1</v>
      </c>
      <c r="K2" s="5">
        <v>0</v>
      </c>
      <c r="L2" s="5">
        <v>0</v>
      </c>
      <c r="M2" s="5">
        <v>0</v>
      </c>
      <c r="N2" s="5">
        <v>0</v>
      </c>
    </row>
    <row r="3" s="4" customFormat="1" customHeight="1" spans="1:14">
      <c r="A3" s="5" t="s">
        <v>94</v>
      </c>
      <c r="B3" s="6" t="s">
        <v>1335</v>
      </c>
      <c r="C3" s="5">
        <v>0</v>
      </c>
      <c r="D3" s="5">
        <v>0</v>
      </c>
      <c r="E3" s="5">
        <v>0</v>
      </c>
      <c r="F3" s="5">
        <v>1</v>
      </c>
      <c r="G3" s="5">
        <v>0</v>
      </c>
      <c r="H3" s="5">
        <v>0</v>
      </c>
      <c r="I3" s="5">
        <v>1</v>
      </c>
      <c r="J3" s="5">
        <v>0</v>
      </c>
      <c r="K3" s="5">
        <v>1</v>
      </c>
      <c r="L3" s="5">
        <v>0</v>
      </c>
      <c r="M3" s="5">
        <v>0</v>
      </c>
      <c r="N3" s="5">
        <v>0</v>
      </c>
    </row>
    <row r="4" s="4" customFormat="1" customHeight="1" spans="1:14">
      <c r="A4" s="5" t="s">
        <v>140</v>
      </c>
      <c r="B4" s="6" t="s">
        <v>1336</v>
      </c>
      <c r="C4" s="5">
        <v>0</v>
      </c>
      <c r="D4" s="5">
        <v>0</v>
      </c>
      <c r="E4" s="5">
        <v>1</v>
      </c>
      <c r="F4" s="5">
        <v>0</v>
      </c>
      <c r="G4" s="5">
        <v>1</v>
      </c>
      <c r="H4" s="5">
        <v>0</v>
      </c>
      <c r="I4" s="5">
        <v>1</v>
      </c>
      <c r="J4" s="5">
        <v>0</v>
      </c>
      <c r="K4" s="5">
        <v>1</v>
      </c>
      <c r="L4" s="5">
        <v>0</v>
      </c>
      <c r="M4" s="5">
        <v>0</v>
      </c>
      <c r="N4" s="5">
        <v>0</v>
      </c>
    </row>
    <row r="5" s="4" customFormat="1" customHeight="1" spans="1:14">
      <c r="A5" s="5" t="s">
        <v>183</v>
      </c>
      <c r="B5" s="6" t="s">
        <v>1337</v>
      </c>
      <c r="C5" s="5">
        <v>0</v>
      </c>
      <c r="D5" s="5">
        <v>0</v>
      </c>
      <c r="E5" s="5">
        <v>0</v>
      </c>
      <c r="F5" s="5">
        <v>0</v>
      </c>
      <c r="G5" s="5">
        <v>0</v>
      </c>
      <c r="H5" s="5">
        <v>0</v>
      </c>
      <c r="I5" s="5">
        <v>0</v>
      </c>
      <c r="J5" s="5">
        <v>1</v>
      </c>
      <c r="K5" s="5">
        <v>0</v>
      </c>
      <c r="L5" s="5">
        <v>0</v>
      </c>
      <c r="M5" s="5">
        <v>0</v>
      </c>
      <c r="N5" s="5">
        <v>0</v>
      </c>
    </row>
    <row r="6" s="4" customFormat="1" customHeight="1" spans="1:14">
      <c r="A6" s="5" t="s">
        <v>202</v>
      </c>
      <c r="B6" s="6" t="s">
        <v>1338</v>
      </c>
      <c r="C6" s="5">
        <v>1</v>
      </c>
      <c r="D6" s="5">
        <v>0</v>
      </c>
      <c r="E6" s="5">
        <v>1</v>
      </c>
      <c r="F6" s="5">
        <v>0</v>
      </c>
      <c r="G6" s="5">
        <v>0</v>
      </c>
      <c r="H6" s="5">
        <v>0</v>
      </c>
      <c r="I6" s="5">
        <v>0</v>
      </c>
      <c r="J6" s="5">
        <v>0</v>
      </c>
      <c r="K6" s="5">
        <v>0</v>
      </c>
      <c r="L6" s="5">
        <v>0</v>
      </c>
      <c r="M6" s="5">
        <v>0</v>
      </c>
      <c r="N6" s="5">
        <v>0</v>
      </c>
    </row>
    <row r="7" s="4" customFormat="1" customHeight="1" spans="1:14">
      <c r="A7" s="5" t="s">
        <v>242</v>
      </c>
      <c r="B7" s="6" t="s">
        <v>1339</v>
      </c>
      <c r="C7" s="5">
        <v>0</v>
      </c>
      <c r="D7" s="5">
        <v>0</v>
      </c>
      <c r="E7" s="5">
        <v>0</v>
      </c>
      <c r="F7" s="5">
        <v>0</v>
      </c>
      <c r="G7" s="5">
        <v>0</v>
      </c>
      <c r="H7" s="5">
        <v>0</v>
      </c>
      <c r="I7" s="5">
        <v>0</v>
      </c>
      <c r="J7" s="5">
        <v>1</v>
      </c>
      <c r="K7" s="5">
        <v>1</v>
      </c>
      <c r="L7" s="5">
        <v>0</v>
      </c>
      <c r="M7" s="5">
        <v>1</v>
      </c>
      <c r="N7" s="5">
        <v>0</v>
      </c>
    </row>
    <row r="8" s="4" customFormat="1" customHeight="1" spans="1:14">
      <c r="A8" s="5" t="s">
        <v>263</v>
      </c>
      <c r="B8" s="6" t="s">
        <v>1340</v>
      </c>
      <c r="C8" s="5">
        <v>1</v>
      </c>
      <c r="D8" s="5">
        <v>0</v>
      </c>
      <c r="E8" s="5">
        <v>0</v>
      </c>
      <c r="F8" s="5">
        <v>1</v>
      </c>
      <c r="G8" s="5">
        <v>0</v>
      </c>
      <c r="H8" s="5">
        <v>1</v>
      </c>
      <c r="I8" s="5">
        <v>0</v>
      </c>
      <c r="J8" s="5">
        <v>1</v>
      </c>
      <c r="K8" s="5">
        <v>0</v>
      </c>
      <c r="L8" s="5">
        <v>0</v>
      </c>
      <c r="M8" s="5">
        <v>0</v>
      </c>
      <c r="N8" s="5">
        <v>0</v>
      </c>
    </row>
    <row r="9" s="4" customFormat="1" customHeight="1" spans="1:14">
      <c r="A9" s="5" t="s">
        <v>294</v>
      </c>
      <c r="B9" s="6" t="s">
        <v>1341</v>
      </c>
      <c r="C9" s="5">
        <v>0</v>
      </c>
      <c r="D9" s="5">
        <v>1</v>
      </c>
      <c r="E9" s="5">
        <v>0</v>
      </c>
      <c r="F9" s="5">
        <v>0</v>
      </c>
      <c r="G9" s="5">
        <v>0</v>
      </c>
      <c r="H9" s="5">
        <v>0</v>
      </c>
      <c r="I9" s="5">
        <v>0</v>
      </c>
      <c r="J9" s="5">
        <v>0</v>
      </c>
      <c r="K9" s="5">
        <v>0</v>
      </c>
      <c r="L9" s="5">
        <v>0</v>
      </c>
      <c r="M9" s="5">
        <v>1</v>
      </c>
      <c r="N9" s="5">
        <v>0</v>
      </c>
    </row>
    <row r="10" s="4" customFormat="1" customHeight="1" spans="1:14">
      <c r="A10" s="5" t="s">
        <v>316</v>
      </c>
      <c r="B10" s="6" t="s">
        <v>1342</v>
      </c>
      <c r="C10" s="5">
        <v>0</v>
      </c>
      <c r="D10" s="5">
        <v>0</v>
      </c>
      <c r="E10" s="5">
        <v>1</v>
      </c>
      <c r="F10" s="5">
        <v>1</v>
      </c>
      <c r="G10" s="5">
        <v>1</v>
      </c>
      <c r="H10" s="5">
        <v>0</v>
      </c>
      <c r="I10" s="5">
        <v>1</v>
      </c>
      <c r="J10" s="5">
        <v>1</v>
      </c>
      <c r="K10" s="5">
        <v>0</v>
      </c>
      <c r="L10" s="5">
        <v>0</v>
      </c>
      <c r="M10" s="5">
        <v>0</v>
      </c>
      <c r="N10" s="5">
        <v>1</v>
      </c>
    </row>
    <row r="11" s="4" customFormat="1" customHeight="1" spans="1:14">
      <c r="A11" s="5" t="s">
        <v>339</v>
      </c>
      <c r="B11" s="6" t="s">
        <v>1343</v>
      </c>
      <c r="C11" s="5">
        <v>0</v>
      </c>
      <c r="D11" s="5">
        <v>0</v>
      </c>
      <c r="E11" s="5">
        <v>0</v>
      </c>
      <c r="F11" s="5">
        <v>1</v>
      </c>
      <c r="G11" s="5">
        <v>0</v>
      </c>
      <c r="H11" s="5">
        <v>1</v>
      </c>
      <c r="I11" s="5">
        <v>1</v>
      </c>
      <c r="J11" s="5">
        <v>1</v>
      </c>
      <c r="K11" s="5">
        <v>1</v>
      </c>
      <c r="L11" s="5">
        <v>1</v>
      </c>
      <c r="M11" s="5">
        <v>0</v>
      </c>
      <c r="N11" s="5">
        <v>0</v>
      </c>
    </row>
    <row r="12" s="4" customFormat="1" customHeight="1" spans="1:14">
      <c r="A12" s="5" t="s">
        <v>362</v>
      </c>
      <c r="B12" s="5" t="s">
        <v>1344</v>
      </c>
      <c r="C12" s="5">
        <v>0</v>
      </c>
      <c r="D12" s="5">
        <v>0</v>
      </c>
      <c r="E12" s="5">
        <v>0</v>
      </c>
      <c r="F12" s="5">
        <v>0</v>
      </c>
      <c r="G12" s="5">
        <v>0</v>
      </c>
      <c r="H12" s="5">
        <v>0</v>
      </c>
      <c r="I12" s="5">
        <v>1</v>
      </c>
      <c r="J12" s="5">
        <v>0</v>
      </c>
      <c r="K12" s="5">
        <v>1</v>
      </c>
      <c r="L12" s="5">
        <v>0</v>
      </c>
      <c r="M12" s="5">
        <v>0</v>
      </c>
      <c r="N12" s="5">
        <v>0</v>
      </c>
    </row>
    <row r="13" s="4" customFormat="1" customHeight="1" spans="1:14">
      <c r="A13" s="5" t="s">
        <v>395</v>
      </c>
      <c r="B13" s="5" t="s">
        <v>1345</v>
      </c>
      <c r="C13" s="5">
        <v>1</v>
      </c>
      <c r="D13" s="5">
        <v>1</v>
      </c>
      <c r="E13" s="5">
        <v>0</v>
      </c>
      <c r="F13" s="5">
        <v>1</v>
      </c>
      <c r="G13" s="5">
        <v>0</v>
      </c>
      <c r="H13" s="5">
        <v>0</v>
      </c>
      <c r="I13" s="5">
        <v>0</v>
      </c>
      <c r="J13" s="5">
        <v>1</v>
      </c>
      <c r="K13" s="5">
        <v>0</v>
      </c>
      <c r="L13" s="5">
        <v>0</v>
      </c>
      <c r="M13" s="5">
        <v>0</v>
      </c>
      <c r="N13" s="5">
        <v>1</v>
      </c>
    </row>
    <row r="14" s="4" customFormat="1" customHeight="1" spans="1:14">
      <c r="A14" s="5" t="s">
        <v>425</v>
      </c>
      <c r="B14" s="6" t="s">
        <v>1346</v>
      </c>
      <c r="C14" s="5">
        <v>1</v>
      </c>
      <c r="D14" s="5">
        <v>1</v>
      </c>
      <c r="E14" s="5">
        <v>0</v>
      </c>
      <c r="F14" s="5">
        <v>1</v>
      </c>
      <c r="G14" s="5">
        <v>0</v>
      </c>
      <c r="H14" s="5">
        <v>0</v>
      </c>
      <c r="I14" s="5">
        <v>0</v>
      </c>
      <c r="J14" s="5">
        <v>0</v>
      </c>
      <c r="K14" s="5">
        <v>0</v>
      </c>
      <c r="L14" s="5">
        <v>0</v>
      </c>
      <c r="M14" s="5">
        <v>0</v>
      </c>
      <c r="N14" s="5">
        <v>0</v>
      </c>
    </row>
    <row r="15" s="4" customFormat="1" customHeight="1" spans="1:14">
      <c r="A15" s="5" t="s">
        <v>457</v>
      </c>
      <c r="B15" s="5" t="s">
        <v>1347</v>
      </c>
      <c r="C15" s="5">
        <v>0</v>
      </c>
      <c r="D15" s="5">
        <v>0</v>
      </c>
      <c r="E15" s="5">
        <v>1</v>
      </c>
      <c r="F15" s="5">
        <v>1</v>
      </c>
      <c r="G15" s="5">
        <v>1</v>
      </c>
      <c r="H15" s="5">
        <v>0</v>
      </c>
      <c r="I15" s="5">
        <v>0</v>
      </c>
      <c r="J15" s="5">
        <v>1</v>
      </c>
      <c r="K15" s="5">
        <v>1</v>
      </c>
      <c r="L15" s="5">
        <v>1</v>
      </c>
      <c r="M15" s="5">
        <v>1</v>
      </c>
      <c r="N15" s="5">
        <v>0</v>
      </c>
    </row>
    <row r="16" s="4" customFormat="1" customHeight="1" spans="1:14">
      <c r="A16" s="5" t="s">
        <v>479</v>
      </c>
      <c r="B16" s="5" t="s">
        <v>1348</v>
      </c>
      <c r="C16" s="5">
        <v>0</v>
      </c>
      <c r="D16" s="5">
        <v>0</v>
      </c>
      <c r="E16" s="5">
        <v>0</v>
      </c>
      <c r="F16" s="5">
        <v>0</v>
      </c>
      <c r="G16" s="5">
        <v>0</v>
      </c>
      <c r="H16" s="5">
        <v>0</v>
      </c>
      <c r="I16" s="5">
        <v>0</v>
      </c>
      <c r="J16" s="5">
        <v>0</v>
      </c>
      <c r="K16" s="5">
        <v>0</v>
      </c>
      <c r="L16" s="5">
        <v>0</v>
      </c>
      <c r="M16" s="5">
        <v>0</v>
      </c>
      <c r="N16" s="5">
        <v>1</v>
      </c>
    </row>
    <row r="17" s="4" customFormat="1" customHeight="1" spans="1:14">
      <c r="A17" s="5" t="s">
        <v>504</v>
      </c>
      <c r="B17" s="6" t="s">
        <v>1349</v>
      </c>
      <c r="C17" s="5">
        <v>0</v>
      </c>
      <c r="D17" s="5">
        <v>0</v>
      </c>
      <c r="E17" s="5">
        <v>0</v>
      </c>
      <c r="F17" s="5">
        <v>1</v>
      </c>
      <c r="G17" s="5">
        <v>0</v>
      </c>
      <c r="H17" s="5">
        <v>0</v>
      </c>
      <c r="I17" s="5">
        <v>0</v>
      </c>
      <c r="J17" s="5">
        <v>0</v>
      </c>
      <c r="K17" s="5">
        <v>0</v>
      </c>
      <c r="L17" s="5">
        <v>0</v>
      </c>
      <c r="M17" s="5">
        <v>0</v>
      </c>
      <c r="N17" s="5">
        <v>1</v>
      </c>
    </row>
    <row r="18" s="4" customFormat="1" customHeight="1" spans="1:14">
      <c r="A18" s="5" t="s">
        <v>520</v>
      </c>
      <c r="B18" s="5" t="s">
        <v>1350</v>
      </c>
      <c r="C18" s="5">
        <v>1</v>
      </c>
      <c r="D18" s="5">
        <v>0</v>
      </c>
      <c r="E18" s="5">
        <v>1</v>
      </c>
      <c r="F18" s="5">
        <v>1</v>
      </c>
      <c r="G18" s="5">
        <v>1</v>
      </c>
      <c r="H18" s="5">
        <v>1</v>
      </c>
      <c r="I18" s="5">
        <v>1</v>
      </c>
      <c r="J18" s="5">
        <v>1</v>
      </c>
      <c r="K18" s="5">
        <v>1</v>
      </c>
      <c r="L18" s="5">
        <v>1</v>
      </c>
      <c r="M18" s="5">
        <v>0</v>
      </c>
      <c r="N18" s="5">
        <v>0</v>
      </c>
    </row>
    <row r="19" s="4" customFormat="1" customHeight="1" spans="1:14">
      <c r="A19" s="5" t="s">
        <v>547</v>
      </c>
      <c r="B19" s="6" t="s">
        <v>1351</v>
      </c>
      <c r="C19" s="5">
        <v>0</v>
      </c>
      <c r="D19" s="5">
        <v>0</v>
      </c>
      <c r="E19" s="5">
        <v>0</v>
      </c>
      <c r="F19" s="5">
        <v>1</v>
      </c>
      <c r="G19" s="5">
        <v>1</v>
      </c>
      <c r="H19" s="5">
        <v>1</v>
      </c>
      <c r="I19" s="5">
        <v>1</v>
      </c>
      <c r="J19" s="5">
        <v>0</v>
      </c>
      <c r="K19" s="5">
        <v>1</v>
      </c>
      <c r="L19" s="5">
        <v>0</v>
      </c>
      <c r="M19" s="5">
        <v>0</v>
      </c>
      <c r="N19" s="5">
        <v>0</v>
      </c>
    </row>
    <row r="20" s="4" customFormat="1" customHeight="1" spans="1:14">
      <c r="A20" s="5" t="s">
        <v>574</v>
      </c>
      <c r="B20" s="5" t="s">
        <v>1352</v>
      </c>
      <c r="C20" s="5">
        <v>0</v>
      </c>
      <c r="D20" s="5">
        <v>0</v>
      </c>
      <c r="E20" s="5">
        <v>1</v>
      </c>
      <c r="F20" s="5">
        <v>1</v>
      </c>
      <c r="G20" s="5">
        <v>1</v>
      </c>
      <c r="H20" s="5">
        <v>1</v>
      </c>
      <c r="I20" s="5">
        <v>1</v>
      </c>
      <c r="J20" s="5">
        <v>1</v>
      </c>
      <c r="K20" s="5">
        <v>1</v>
      </c>
      <c r="L20" s="5">
        <v>1</v>
      </c>
      <c r="M20" s="5">
        <v>0</v>
      </c>
      <c r="N20" s="5">
        <v>1</v>
      </c>
    </row>
    <row r="21" s="4" customFormat="1" customHeight="1" spans="1:14">
      <c r="A21" s="5" t="s">
        <v>602</v>
      </c>
      <c r="B21" s="5" t="s">
        <v>1353</v>
      </c>
      <c r="C21" s="5">
        <v>1</v>
      </c>
      <c r="D21" s="5">
        <v>0</v>
      </c>
      <c r="E21" s="5">
        <v>0</v>
      </c>
      <c r="F21" s="5">
        <v>0</v>
      </c>
      <c r="G21" s="5">
        <v>0</v>
      </c>
      <c r="H21" s="5">
        <v>0</v>
      </c>
      <c r="I21" s="5">
        <v>0</v>
      </c>
      <c r="J21" s="5">
        <v>1</v>
      </c>
      <c r="K21" s="5">
        <v>0</v>
      </c>
      <c r="L21" s="5">
        <v>0</v>
      </c>
      <c r="M21" s="5">
        <v>0</v>
      </c>
      <c r="N21" s="5">
        <v>1</v>
      </c>
    </row>
    <row r="22" s="4" customFormat="1" customHeight="1" spans="1:14">
      <c r="A22" s="5" t="s">
        <v>640</v>
      </c>
      <c r="B22" s="5" t="s">
        <v>1354</v>
      </c>
      <c r="C22" s="5">
        <v>1</v>
      </c>
      <c r="D22" s="5">
        <v>0</v>
      </c>
      <c r="E22" s="5">
        <v>1</v>
      </c>
      <c r="F22" s="5">
        <v>0</v>
      </c>
      <c r="G22" s="5">
        <v>0</v>
      </c>
      <c r="H22" s="5">
        <v>0</v>
      </c>
      <c r="I22" s="5">
        <v>0</v>
      </c>
      <c r="J22" s="5">
        <v>1</v>
      </c>
      <c r="K22" s="5">
        <v>1</v>
      </c>
      <c r="L22" s="5">
        <v>0</v>
      </c>
      <c r="M22" s="5">
        <v>1</v>
      </c>
      <c r="N22" s="5">
        <v>1</v>
      </c>
    </row>
    <row r="23" s="4" customFormat="1" customHeight="1" spans="1:14">
      <c r="A23" s="5" t="s">
        <v>660</v>
      </c>
      <c r="B23" s="6" t="s">
        <v>1355</v>
      </c>
      <c r="C23" s="5">
        <v>0</v>
      </c>
      <c r="D23" s="5">
        <v>0</v>
      </c>
      <c r="E23" s="5">
        <v>0</v>
      </c>
      <c r="F23" s="5">
        <v>1</v>
      </c>
      <c r="G23" s="5">
        <v>1</v>
      </c>
      <c r="H23" s="5">
        <v>1</v>
      </c>
      <c r="I23" s="5">
        <v>0</v>
      </c>
      <c r="J23" s="5">
        <v>0</v>
      </c>
      <c r="K23" s="5">
        <v>0</v>
      </c>
      <c r="L23" s="5">
        <v>1</v>
      </c>
      <c r="M23" s="5">
        <v>0</v>
      </c>
      <c r="N23" s="5">
        <v>0</v>
      </c>
    </row>
    <row r="24" s="4" customFormat="1" customHeight="1" spans="1:14">
      <c r="A24" s="5" t="s">
        <v>679</v>
      </c>
      <c r="B24" s="6" t="s">
        <v>1356</v>
      </c>
      <c r="C24" s="5">
        <v>0</v>
      </c>
      <c r="D24" s="5">
        <v>0</v>
      </c>
      <c r="E24" s="5">
        <v>1</v>
      </c>
      <c r="F24" s="5">
        <v>1</v>
      </c>
      <c r="G24" s="5">
        <v>1</v>
      </c>
      <c r="H24" s="5">
        <v>0</v>
      </c>
      <c r="I24" s="5">
        <v>0</v>
      </c>
      <c r="J24" s="5">
        <v>1</v>
      </c>
      <c r="K24" s="5">
        <v>1</v>
      </c>
      <c r="L24" s="5">
        <v>0</v>
      </c>
      <c r="M24" s="5">
        <v>0</v>
      </c>
      <c r="N24" s="5">
        <v>0</v>
      </c>
    </row>
    <row r="25" s="4" customFormat="1" customHeight="1" spans="1:14">
      <c r="A25" s="5" t="s">
        <v>690</v>
      </c>
      <c r="B25" s="5" t="s">
        <v>1357</v>
      </c>
      <c r="C25" s="5">
        <v>1</v>
      </c>
      <c r="D25" s="5">
        <v>0</v>
      </c>
      <c r="E25" s="5">
        <v>0</v>
      </c>
      <c r="F25" s="5">
        <v>0</v>
      </c>
      <c r="G25" s="5">
        <v>0</v>
      </c>
      <c r="H25" s="5">
        <v>0</v>
      </c>
      <c r="I25" s="5">
        <v>0</v>
      </c>
      <c r="J25" s="5">
        <v>0</v>
      </c>
      <c r="K25" s="5">
        <v>0</v>
      </c>
      <c r="L25" s="5">
        <v>0</v>
      </c>
      <c r="M25" s="5">
        <v>1</v>
      </c>
      <c r="N25" s="5">
        <v>0</v>
      </c>
    </row>
    <row r="26" s="4" customFormat="1" customHeight="1" spans="1:14">
      <c r="A26" s="5" t="s">
        <v>704</v>
      </c>
      <c r="B26" s="5" t="s">
        <v>1358</v>
      </c>
      <c r="C26" s="5">
        <v>0</v>
      </c>
      <c r="D26" s="5">
        <v>0</v>
      </c>
      <c r="E26" s="5">
        <v>1</v>
      </c>
      <c r="F26" s="5">
        <v>0</v>
      </c>
      <c r="G26" s="5">
        <v>0</v>
      </c>
      <c r="H26" s="5">
        <v>0</v>
      </c>
      <c r="I26" s="5">
        <v>0</v>
      </c>
      <c r="J26" s="5">
        <v>0</v>
      </c>
      <c r="K26" s="5">
        <v>0</v>
      </c>
      <c r="L26" s="5">
        <v>0</v>
      </c>
      <c r="M26" s="5">
        <v>0</v>
      </c>
      <c r="N26" s="5">
        <v>0</v>
      </c>
    </row>
    <row r="27" s="4" customFormat="1" customHeight="1" spans="1:14">
      <c r="A27" s="5" t="s">
        <v>725</v>
      </c>
      <c r="B27" s="5" t="s">
        <v>1359</v>
      </c>
      <c r="C27" s="5">
        <v>0</v>
      </c>
      <c r="D27" s="5">
        <v>0</v>
      </c>
      <c r="E27" s="5">
        <v>1</v>
      </c>
      <c r="F27" s="5">
        <v>1</v>
      </c>
      <c r="G27" s="5">
        <v>1</v>
      </c>
      <c r="H27" s="5">
        <v>0</v>
      </c>
      <c r="I27" s="5">
        <v>1</v>
      </c>
      <c r="J27" s="5">
        <v>0</v>
      </c>
      <c r="K27" s="5">
        <v>0</v>
      </c>
      <c r="L27" s="5">
        <v>1</v>
      </c>
      <c r="M27" s="5">
        <v>0</v>
      </c>
      <c r="N27" s="5">
        <v>0</v>
      </c>
    </row>
    <row r="28" s="4" customFormat="1" customHeight="1" spans="1:14">
      <c r="A28" s="5" t="s">
        <v>734</v>
      </c>
      <c r="B28" s="6" t="s">
        <v>1360</v>
      </c>
      <c r="C28" s="5">
        <v>1</v>
      </c>
      <c r="D28" s="5">
        <v>0</v>
      </c>
      <c r="E28" s="5">
        <v>0</v>
      </c>
      <c r="F28" s="5">
        <v>0</v>
      </c>
      <c r="G28" s="5">
        <v>0</v>
      </c>
      <c r="H28" s="5">
        <v>0</v>
      </c>
      <c r="I28" s="5">
        <v>0</v>
      </c>
      <c r="J28" s="5">
        <v>0</v>
      </c>
      <c r="K28" s="5">
        <v>0</v>
      </c>
      <c r="L28" s="5">
        <v>0</v>
      </c>
      <c r="M28" s="5">
        <v>1</v>
      </c>
      <c r="N28" s="5">
        <v>1</v>
      </c>
    </row>
    <row r="29" s="4" customFormat="1" customHeight="1" spans="1:14">
      <c r="A29" s="5" t="s">
        <v>748</v>
      </c>
      <c r="B29" s="5" t="s">
        <v>1361</v>
      </c>
      <c r="C29" s="5">
        <v>1</v>
      </c>
      <c r="D29" s="5">
        <v>0</v>
      </c>
      <c r="E29" s="5">
        <v>1</v>
      </c>
      <c r="F29" s="5">
        <v>1</v>
      </c>
      <c r="G29" s="5">
        <v>0</v>
      </c>
      <c r="H29" s="5">
        <v>0</v>
      </c>
      <c r="I29" s="5">
        <v>0</v>
      </c>
      <c r="J29" s="5">
        <v>1</v>
      </c>
      <c r="K29" s="5">
        <v>1</v>
      </c>
      <c r="L29" s="5">
        <v>0</v>
      </c>
      <c r="M29" s="5">
        <v>1</v>
      </c>
      <c r="N29" s="5">
        <v>1</v>
      </c>
    </row>
    <row r="30" s="4" customFormat="1" customHeight="1" spans="1:14">
      <c r="A30" s="5" t="s">
        <v>776</v>
      </c>
      <c r="B30" s="5" t="s">
        <v>1362</v>
      </c>
      <c r="C30" s="5">
        <v>1</v>
      </c>
      <c r="D30" s="5">
        <v>1</v>
      </c>
      <c r="E30" s="5">
        <v>0</v>
      </c>
      <c r="F30" s="5">
        <v>0</v>
      </c>
      <c r="G30" s="5">
        <v>0</v>
      </c>
      <c r="H30" s="5">
        <v>0</v>
      </c>
      <c r="I30" s="5">
        <v>1</v>
      </c>
      <c r="J30" s="5">
        <v>1</v>
      </c>
      <c r="K30" s="5">
        <v>1</v>
      </c>
      <c r="L30" s="5">
        <v>0</v>
      </c>
      <c r="M30" s="5">
        <v>1</v>
      </c>
      <c r="N30" s="5">
        <v>1</v>
      </c>
    </row>
    <row r="31" s="4" customFormat="1" customHeight="1" spans="1:14">
      <c r="A31" s="5" t="s">
        <v>787</v>
      </c>
      <c r="B31" s="6" t="s">
        <v>1363</v>
      </c>
      <c r="C31" s="5">
        <v>1</v>
      </c>
      <c r="D31" s="5">
        <v>0</v>
      </c>
      <c r="E31" s="5">
        <v>1</v>
      </c>
      <c r="F31" s="5">
        <v>1</v>
      </c>
      <c r="G31" s="5">
        <v>0</v>
      </c>
      <c r="H31" s="5">
        <v>0</v>
      </c>
      <c r="I31" s="5">
        <v>0</v>
      </c>
      <c r="J31" s="5">
        <v>1</v>
      </c>
      <c r="K31" s="5">
        <v>1</v>
      </c>
      <c r="L31" s="5">
        <v>0</v>
      </c>
      <c r="M31" s="5">
        <v>1</v>
      </c>
      <c r="N31" s="5">
        <v>1</v>
      </c>
    </row>
    <row r="32" s="4" customFormat="1" customHeight="1" spans="1:14">
      <c r="A32" s="5" t="s">
        <v>799</v>
      </c>
      <c r="B32" s="6" t="s">
        <v>1364</v>
      </c>
      <c r="C32" s="5">
        <v>0</v>
      </c>
      <c r="D32" s="5">
        <v>0</v>
      </c>
      <c r="E32" s="5">
        <v>0</v>
      </c>
      <c r="F32" s="5">
        <v>0</v>
      </c>
      <c r="G32" s="5">
        <v>0</v>
      </c>
      <c r="H32" s="5">
        <v>0</v>
      </c>
      <c r="I32" s="5">
        <v>0</v>
      </c>
      <c r="J32" s="5">
        <v>0</v>
      </c>
      <c r="K32" s="5">
        <v>0</v>
      </c>
      <c r="L32" s="5">
        <v>0</v>
      </c>
      <c r="M32" s="5">
        <v>1</v>
      </c>
      <c r="N32" s="5">
        <v>1</v>
      </c>
    </row>
    <row r="33" s="4" customFormat="1" customHeight="1" spans="1:14">
      <c r="A33" s="5" t="s">
        <v>828</v>
      </c>
      <c r="B33" s="6" t="s">
        <v>1365</v>
      </c>
      <c r="C33" s="5">
        <v>0</v>
      </c>
      <c r="D33" s="5">
        <v>0</v>
      </c>
      <c r="E33" s="5">
        <v>0</v>
      </c>
      <c r="F33" s="5">
        <v>1</v>
      </c>
      <c r="G33" s="5">
        <v>0</v>
      </c>
      <c r="H33" s="5">
        <v>1</v>
      </c>
      <c r="I33" s="5">
        <v>1</v>
      </c>
      <c r="J33" s="5">
        <v>1</v>
      </c>
      <c r="K33" s="5">
        <v>1</v>
      </c>
      <c r="L33" s="5">
        <v>0</v>
      </c>
      <c r="M33" s="5">
        <v>0</v>
      </c>
      <c r="N33" s="5">
        <v>0</v>
      </c>
    </row>
    <row r="34" s="4" customFormat="1" customHeight="1" spans="1:14">
      <c r="A34" s="5" t="s">
        <v>839</v>
      </c>
      <c r="B34" s="6" t="s">
        <v>1366</v>
      </c>
      <c r="C34" s="5">
        <v>1</v>
      </c>
      <c r="D34" s="5">
        <v>0</v>
      </c>
      <c r="E34" s="5">
        <v>1</v>
      </c>
      <c r="F34" s="5">
        <v>0</v>
      </c>
      <c r="G34" s="5">
        <v>0</v>
      </c>
      <c r="H34" s="5">
        <v>0</v>
      </c>
      <c r="I34" s="5">
        <v>0</v>
      </c>
      <c r="J34" s="5">
        <v>0</v>
      </c>
      <c r="K34" s="5">
        <v>0</v>
      </c>
      <c r="L34" s="5">
        <v>0</v>
      </c>
      <c r="M34" s="5">
        <v>1</v>
      </c>
      <c r="N34" s="5">
        <v>0</v>
      </c>
    </row>
    <row r="35" s="4" customFormat="1" customHeight="1" spans="1:14">
      <c r="A35" s="5" t="s">
        <v>855</v>
      </c>
      <c r="B35" s="5" t="s">
        <v>1367</v>
      </c>
      <c r="C35" s="5">
        <v>0</v>
      </c>
      <c r="D35" s="5">
        <v>0</v>
      </c>
      <c r="E35" s="5">
        <v>1</v>
      </c>
      <c r="F35" s="5">
        <v>0</v>
      </c>
      <c r="G35" s="5">
        <v>0</v>
      </c>
      <c r="H35" s="5">
        <v>0</v>
      </c>
      <c r="I35" s="5">
        <v>0</v>
      </c>
      <c r="J35" s="5">
        <v>1</v>
      </c>
      <c r="K35" s="5">
        <v>1</v>
      </c>
      <c r="L35" s="5">
        <v>0</v>
      </c>
      <c r="M35" s="5">
        <v>0</v>
      </c>
      <c r="N35" s="5">
        <v>1</v>
      </c>
    </row>
    <row r="36" s="4" customFormat="1" customHeight="1" spans="1:14">
      <c r="A36" s="5" t="s">
        <v>878</v>
      </c>
      <c r="B36" s="6" t="s">
        <v>1368</v>
      </c>
      <c r="C36" s="5">
        <v>0</v>
      </c>
      <c r="D36" s="5">
        <v>1</v>
      </c>
      <c r="E36" s="5">
        <v>0</v>
      </c>
      <c r="F36" s="5">
        <v>0</v>
      </c>
      <c r="G36" s="5">
        <v>0</v>
      </c>
      <c r="H36" s="5">
        <v>0</v>
      </c>
      <c r="I36" s="5">
        <v>0</v>
      </c>
      <c r="J36" s="5">
        <v>0</v>
      </c>
      <c r="K36" s="5">
        <v>0</v>
      </c>
      <c r="L36" s="5">
        <v>0</v>
      </c>
      <c r="M36" s="5">
        <v>0</v>
      </c>
      <c r="N36" s="5">
        <v>0</v>
      </c>
    </row>
    <row r="37" s="4" customFormat="1" customHeight="1" spans="1:14">
      <c r="A37" s="5" t="s">
        <v>889</v>
      </c>
      <c r="B37" s="6" t="s">
        <v>1369</v>
      </c>
      <c r="C37" s="5">
        <v>1</v>
      </c>
      <c r="D37" s="5">
        <v>0</v>
      </c>
      <c r="E37" s="5">
        <v>0</v>
      </c>
      <c r="F37" s="5">
        <v>0</v>
      </c>
      <c r="G37" s="5">
        <v>0</v>
      </c>
      <c r="H37" s="5">
        <v>0</v>
      </c>
      <c r="I37" s="5">
        <v>0</v>
      </c>
      <c r="J37" s="5">
        <v>1</v>
      </c>
      <c r="K37" s="5">
        <v>0</v>
      </c>
      <c r="L37" s="5">
        <v>0</v>
      </c>
      <c r="M37" s="5">
        <v>1</v>
      </c>
      <c r="N37" s="5">
        <v>0</v>
      </c>
    </row>
    <row r="38" s="4" customFormat="1" customHeight="1" spans="1:14">
      <c r="A38" s="5" t="s">
        <v>912</v>
      </c>
      <c r="B38" s="6" t="s">
        <v>1370</v>
      </c>
      <c r="C38" s="5">
        <v>0</v>
      </c>
      <c r="D38" s="5">
        <v>0</v>
      </c>
      <c r="E38" s="5">
        <v>0</v>
      </c>
      <c r="F38" s="5">
        <v>1</v>
      </c>
      <c r="G38" s="5">
        <v>0</v>
      </c>
      <c r="H38" s="5">
        <v>0</v>
      </c>
      <c r="I38" s="5">
        <v>0</v>
      </c>
      <c r="J38" s="5">
        <v>0</v>
      </c>
      <c r="K38" s="5">
        <v>0</v>
      </c>
      <c r="L38" s="5">
        <v>0</v>
      </c>
      <c r="M38" s="5">
        <v>0</v>
      </c>
      <c r="N38" s="5">
        <v>0</v>
      </c>
    </row>
    <row r="39" s="4" customFormat="1" customHeight="1" spans="1:14">
      <c r="A39" s="5" t="s">
        <v>922</v>
      </c>
      <c r="B39" s="5" t="s">
        <v>1371</v>
      </c>
      <c r="C39" s="5">
        <v>0</v>
      </c>
      <c r="D39" s="5">
        <v>0</v>
      </c>
      <c r="E39" s="5">
        <v>0</v>
      </c>
      <c r="F39" s="5">
        <v>0</v>
      </c>
      <c r="G39" s="5">
        <v>1</v>
      </c>
      <c r="H39" s="5">
        <v>0</v>
      </c>
      <c r="I39" s="5">
        <v>1</v>
      </c>
      <c r="J39" s="5">
        <v>1</v>
      </c>
      <c r="K39" s="5">
        <v>1</v>
      </c>
      <c r="L39" s="5">
        <v>0</v>
      </c>
      <c r="M39" s="5">
        <v>0</v>
      </c>
      <c r="N39" s="5">
        <v>0</v>
      </c>
    </row>
    <row r="40" s="4" customFormat="1" customHeight="1" spans="1:14">
      <c r="A40" s="5" t="s">
        <v>934</v>
      </c>
      <c r="B40" s="6" t="s">
        <v>1372</v>
      </c>
      <c r="C40" s="5">
        <v>1</v>
      </c>
      <c r="D40" s="5">
        <v>0</v>
      </c>
      <c r="E40" s="5">
        <v>0</v>
      </c>
      <c r="F40" s="5">
        <v>0</v>
      </c>
      <c r="G40" s="5">
        <v>0</v>
      </c>
      <c r="H40" s="5">
        <v>0</v>
      </c>
      <c r="I40" s="5">
        <v>0</v>
      </c>
      <c r="J40" s="5">
        <v>1</v>
      </c>
      <c r="K40" s="5">
        <v>1</v>
      </c>
      <c r="L40" s="5">
        <v>0</v>
      </c>
      <c r="M40" s="5">
        <v>1</v>
      </c>
      <c r="N40" s="5">
        <v>1</v>
      </c>
    </row>
    <row r="41" s="4" customFormat="1" customHeight="1" spans="1:14">
      <c r="A41" s="5" t="s">
        <v>950</v>
      </c>
      <c r="B41" s="6" t="s">
        <v>1373</v>
      </c>
      <c r="C41" s="5">
        <v>1</v>
      </c>
      <c r="D41" s="5">
        <v>1</v>
      </c>
      <c r="E41" s="5">
        <v>1</v>
      </c>
      <c r="F41" s="5">
        <v>0</v>
      </c>
      <c r="G41" s="5">
        <v>0</v>
      </c>
      <c r="H41" s="5">
        <v>1</v>
      </c>
      <c r="I41" s="5">
        <v>0</v>
      </c>
      <c r="J41" s="5">
        <v>1</v>
      </c>
      <c r="K41" s="5">
        <v>1</v>
      </c>
      <c r="L41" s="5">
        <v>0</v>
      </c>
      <c r="M41" s="5">
        <v>0</v>
      </c>
      <c r="N41" s="5">
        <v>1</v>
      </c>
    </row>
    <row r="42" s="4" customFormat="1" customHeight="1" spans="1:14">
      <c r="A42" s="5" t="s">
        <v>966</v>
      </c>
      <c r="B42" s="5" t="s">
        <v>1374</v>
      </c>
      <c r="C42" s="5">
        <v>1</v>
      </c>
      <c r="D42" s="5">
        <v>1</v>
      </c>
      <c r="E42" s="5">
        <v>0</v>
      </c>
      <c r="F42" s="5">
        <v>1</v>
      </c>
      <c r="G42" s="5">
        <v>0</v>
      </c>
      <c r="H42" s="5">
        <v>0</v>
      </c>
      <c r="I42" s="5">
        <v>0</v>
      </c>
      <c r="J42" s="5">
        <v>1</v>
      </c>
      <c r="K42" s="5">
        <v>1</v>
      </c>
      <c r="L42" s="5">
        <v>0</v>
      </c>
      <c r="M42" s="5">
        <v>1</v>
      </c>
      <c r="N42" s="5">
        <v>0</v>
      </c>
    </row>
    <row r="43" s="4" customFormat="1" customHeight="1" spans="1:14">
      <c r="A43" s="5" t="s">
        <v>975</v>
      </c>
      <c r="B43" s="6" t="s">
        <v>1375</v>
      </c>
      <c r="C43" s="5">
        <v>0</v>
      </c>
      <c r="D43" s="5">
        <v>0</v>
      </c>
      <c r="E43" s="5">
        <v>1</v>
      </c>
      <c r="F43" s="5">
        <v>0</v>
      </c>
      <c r="G43" s="5">
        <v>1</v>
      </c>
      <c r="H43" s="5">
        <v>0</v>
      </c>
      <c r="I43" s="5">
        <v>0</v>
      </c>
      <c r="J43" s="5">
        <v>1</v>
      </c>
      <c r="K43" s="5">
        <v>1</v>
      </c>
      <c r="L43" s="5">
        <v>1</v>
      </c>
      <c r="M43" s="5">
        <v>0</v>
      </c>
      <c r="N43" s="5">
        <v>0</v>
      </c>
    </row>
    <row r="44" s="4" customFormat="1" customHeight="1" spans="1:14">
      <c r="A44" s="5" t="s">
        <v>994</v>
      </c>
      <c r="B44" s="6" t="s">
        <v>1376</v>
      </c>
      <c r="C44" s="5">
        <v>0</v>
      </c>
      <c r="D44" s="5">
        <v>1</v>
      </c>
      <c r="E44" s="5">
        <v>1</v>
      </c>
      <c r="F44" s="5">
        <v>1</v>
      </c>
      <c r="G44" s="5">
        <v>0</v>
      </c>
      <c r="H44" s="5">
        <v>0</v>
      </c>
      <c r="I44" s="5">
        <v>0</v>
      </c>
      <c r="J44" s="5">
        <v>1</v>
      </c>
      <c r="K44" s="5">
        <v>0</v>
      </c>
      <c r="L44" s="5">
        <v>0</v>
      </c>
      <c r="M44" s="5">
        <v>1</v>
      </c>
      <c r="N44" s="5">
        <v>1</v>
      </c>
    </row>
    <row r="45" s="4" customFormat="1" customHeight="1" spans="1:14">
      <c r="A45" s="5" t="s">
        <v>1012</v>
      </c>
      <c r="B45" s="6" t="s">
        <v>1377</v>
      </c>
      <c r="C45" s="5">
        <v>0</v>
      </c>
      <c r="D45" s="5">
        <v>0</v>
      </c>
      <c r="E45" s="5">
        <v>1</v>
      </c>
      <c r="F45" s="5">
        <v>1</v>
      </c>
      <c r="G45" s="5">
        <v>1</v>
      </c>
      <c r="H45" s="5">
        <v>1</v>
      </c>
      <c r="I45" s="5">
        <v>1</v>
      </c>
      <c r="J45" s="5">
        <v>1</v>
      </c>
      <c r="K45" s="5">
        <v>1</v>
      </c>
      <c r="L45" s="5">
        <v>1</v>
      </c>
      <c r="M45" s="5">
        <v>0</v>
      </c>
      <c r="N45" s="5">
        <v>0</v>
      </c>
    </row>
    <row r="46" s="4" customFormat="1" customHeight="1" spans="1:14">
      <c r="A46" s="5" t="s">
        <v>1050</v>
      </c>
      <c r="B46" s="5" t="s">
        <v>1378</v>
      </c>
      <c r="C46" s="5">
        <v>1</v>
      </c>
      <c r="D46" s="5">
        <v>0</v>
      </c>
      <c r="E46" s="5">
        <v>1</v>
      </c>
      <c r="F46" s="5">
        <v>0</v>
      </c>
      <c r="G46" s="5">
        <v>0</v>
      </c>
      <c r="H46" s="5">
        <v>0</v>
      </c>
      <c r="I46" s="5">
        <v>0</v>
      </c>
      <c r="J46" s="5">
        <v>1</v>
      </c>
      <c r="K46" s="5">
        <v>0</v>
      </c>
      <c r="L46" s="5">
        <v>0</v>
      </c>
      <c r="M46" s="5">
        <v>0</v>
      </c>
      <c r="N46" s="5">
        <v>0</v>
      </c>
    </row>
    <row r="47" s="4" customFormat="1" customHeight="1" spans="1:14">
      <c r="A47" s="5" t="s">
        <v>1063</v>
      </c>
      <c r="B47" s="5" t="s">
        <v>1379</v>
      </c>
      <c r="C47" s="5">
        <v>0</v>
      </c>
      <c r="D47" s="5">
        <v>0</v>
      </c>
      <c r="E47" s="5">
        <v>0</v>
      </c>
      <c r="F47" s="5">
        <v>0</v>
      </c>
      <c r="G47" s="5">
        <v>0</v>
      </c>
      <c r="H47" s="5">
        <v>0</v>
      </c>
      <c r="I47" s="5">
        <v>1</v>
      </c>
      <c r="J47" s="5">
        <v>0</v>
      </c>
      <c r="K47" s="5">
        <v>0</v>
      </c>
      <c r="L47" s="5">
        <v>0</v>
      </c>
      <c r="M47" s="5">
        <v>0</v>
      </c>
      <c r="N47" s="5">
        <v>0</v>
      </c>
    </row>
    <row r="48" s="4" customFormat="1" customHeight="1" spans="1:14">
      <c r="A48" s="5" t="s">
        <v>1074</v>
      </c>
      <c r="B48" s="6" t="s">
        <v>1380</v>
      </c>
      <c r="C48" s="5">
        <v>0</v>
      </c>
      <c r="D48" s="5">
        <v>1</v>
      </c>
      <c r="E48" s="5">
        <v>0</v>
      </c>
      <c r="F48" s="5">
        <v>0</v>
      </c>
      <c r="G48" s="5">
        <v>0</v>
      </c>
      <c r="H48" s="5">
        <v>0</v>
      </c>
      <c r="I48" s="5">
        <v>0</v>
      </c>
      <c r="J48" s="5">
        <v>0</v>
      </c>
      <c r="K48" s="5">
        <v>0</v>
      </c>
      <c r="L48" s="5">
        <v>0</v>
      </c>
      <c r="M48" s="5">
        <v>0</v>
      </c>
      <c r="N48" s="5">
        <v>0</v>
      </c>
    </row>
    <row r="49" s="4" customFormat="1" customHeight="1" spans="1:14">
      <c r="A49" s="5" t="s">
        <v>1099</v>
      </c>
      <c r="B49" s="6" t="s">
        <v>1381</v>
      </c>
      <c r="C49" s="5">
        <v>1</v>
      </c>
      <c r="D49" s="5">
        <v>0</v>
      </c>
      <c r="E49" s="5">
        <v>0</v>
      </c>
      <c r="F49" s="5">
        <v>0</v>
      </c>
      <c r="G49" s="5">
        <v>0</v>
      </c>
      <c r="H49" s="5">
        <v>0</v>
      </c>
      <c r="I49" s="5">
        <v>1</v>
      </c>
      <c r="J49" s="5">
        <v>1</v>
      </c>
      <c r="K49" s="5">
        <v>0</v>
      </c>
      <c r="L49" s="5">
        <v>0</v>
      </c>
      <c r="M49" s="5">
        <v>1</v>
      </c>
      <c r="N49" s="5">
        <v>1</v>
      </c>
    </row>
    <row r="50" s="4" customFormat="1" customHeight="1" spans="1:14">
      <c r="A50" s="5" t="s">
        <v>1110</v>
      </c>
      <c r="B50" s="5" t="s">
        <v>1382</v>
      </c>
      <c r="C50" s="5">
        <v>0</v>
      </c>
      <c r="D50" s="5">
        <v>0</v>
      </c>
      <c r="E50" s="5">
        <v>1</v>
      </c>
      <c r="F50" s="5">
        <v>0</v>
      </c>
      <c r="G50" s="5">
        <v>0</v>
      </c>
      <c r="H50" s="5">
        <v>0</v>
      </c>
      <c r="I50" s="5">
        <v>1</v>
      </c>
      <c r="J50" s="5">
        <v>1</v>
      </c>
      <c r="K50" s="5">
        <v>1</v>
      </c>
      <c r="L50" s="5">
        <v>0</v>
      </c>
      <c r="M50" s="5">
        <v>0</v>
      </c>
      <c r="N50" s="5">
        <v>0</v>
      </c>
    </row>
    <row r="51" s="4" customFormat="1" customHeight="1" spans="1:14">
      <c r="A51" s="5" t="s">
        <v>1133</v>
      </c>
      <c r="B51" s="6" t="s">
        <v>1383</v>
      </c>
      <c r="C51" s="5">
        <v>1</v>
      </c>
      <c r="D51" s="5">
        <v>0</v>
      </c>
      <c r="E51" s="5">
        <v>1</v>
      </c>
      <c r="F51" s="5">
        <v>0</v>
      </c>
      <c r="G51" s="5">
        <v>0</v>
      </c>
      <c r="H51" s="5">
        <v>0</v>
      </c>
      <c r="I51" s="5">
        <v>1</v>
      </c>
      <c r="J51" s="5">
        <v>1</v>
      </c>
      <c r="K51" s="5">
        <v>0</v>
      </c>
      <c r="L51" s="5">
        <v>1</v>
      </c>
      <c r="M51" s="5">
        <v>1</v>
      </c>
      <c r="N51" s="5">
        <v>0</v>
      </c>
    </row>
    <row r="52" s="4" customFormat="1" customHeight="1" spans="1:14">
      <c r="A52" s="5" t="s">
        <v>1147</v>
      </c>
      <c r="B52" s="5" t="s">
        <v>1384</v>
      </c>
      <c r="C52" s="5">
        <v>0</v>
      </c>
      <c r="D52" s="5">
        <v>0</v>
      </c>
      <c r="E52" s="5">
        <v>0</v>
      </c>
      <c r="F52" s="5">
        <v>0</v>
      </c>
      <c r="G52" s="5">
        <v>0</v>
      </c>
      <c r="H52" s="5">
        <v>1</v>
      </c>
      <c r="I52" s="5">
        <v>0</v>
      </c>
      <c r="J52" s="5">
        <v>1</v>
      </c>
      <c r="K52" s="5">
        <v>1</v>
      </c>
      <c r="L52" s="5">
        <v>0</v>
      </c>
      <c r="M52" s="5">
        <v>1</v>
      </c>
      <c r="N52" s="5">
        <v>0</v>
      </c>
    </row>
    <row r="53" s="4" customFormat="1" customHeight="1" spans="1:14">
      <c r="A53" s="5" t="s">
        <v>1158</v>
      </c>
      <c r="B53" s="6" t="s">
        <v>1385</v>
      </c>
      <c r="C53" s="5">
        <v>0</v>
      </c>
      <c r="D53" s="5">
        <v>0</v>
      </c>
      <c r="E53" s="5">
        <v>1</v>
      </c>
      <c r="F53" s="5">
        <v>0</v>
      </c>
      <c r="G53" s="5">
        <v>1</v>
      </c>
      <c r="H53" s="5">
        <v>0</v>
      </c>
      <c r="I53" s="5">
        <v>1</v>
      </c>
      <c r="J53" s="5">
        <v>0</v>
      </c>
      <c r="K53" s="5">
        <v>0</v>
      </c>
      <c r="L53" s="5">
        <v>0</v>
      </c>
      <c r="M53" s="5">
        <v>0</v>
      </c>
      <c r="N53" s="5">
        <v>0</v>
      </c>
    </row>
    <row r="54" s="4" customFormat="1" customHeight="1" spans="1:14">
      <c r="A54" s="5" t="s">
        <v>1173</v>
      </c>
      <c r="B54" s="6" t="s">
        <v>1386</v>
      </c>
      <c r="C54" s="5">
        <v>1</v>
      </c>
      <c r="D54" s="5">
        <v>0</v>
      </c>
      <c r="E54" s="5">
        <v>1</v>
      </c>
      <c r="F54" s="5">
        <v>1</v>
      </c>
      <c r="G54" s="5">
        <v>1</v>
      </c>
      <c r="H54" s="5">
        <v>0</v>
      </c>
      <c r="I54" s="5">
        <v>0</v>
      </c>
      <c r="J54" s="5">
        <v>1</v>
      </c>
      <c r="K54" s="5">
        <v>0</v>
      </c>
      <c r="L54" s="5">
        <v>0</v>
      </c>
      <c r="M54" s="5">
        <v>0</v>
      </c>
      <c r="N54" s="5">
        <v>0</v>
      </c>
    </row>
    <row r="55" s="4" customFormat="1" customHeight="1" spans="1:14">
      <c r="A55" s="5" t="s">
        <v>1185</v>
      </c>
      <c r="B55" s="6" t="s">
        <v>1387</v>
      </c>
      <c r="C55" s="5">
        <v>1</v>
      </c>
      <c r="D55" s="5">
        <v>0</v>
      </c>
      <c r="E55" s="5">
        <v>1</v>
      </c>
      <c r="F55" s="5">
        <v>0</v>
      </c>
      <c r="G55" s="5">
        <v>0</v>
      </c>
      <c r="H55" s="5">
        <v>0</v>
      </c>
      <c r="I55" s="5">
        <v>0</v>
      </c>
      <c r="J55" s="5">
        <v>1</v>
      </c>
      <c r="K55" s="5">
        <v>0</v>
      </c>
      <c r="L55" s="5">
        <v>0</v>
      </c>
      <c r="M55" s="5">
        <v>0</v>
      </c>
      <c r="N55" s="5">
        <v>0</v>
      </c>
    </row>
    <row r="56" s="4" customFormat="1" customHeight="1" spans="1:14">
      <c r="A56" s="5" t="s">
        <v>1204</v>
      </c>
      <c r="B56" s="6" t="s">
        <v>1388</v>
      </c>
      <c r="C56" s="5">
        <v>1</v>
      </c>
      <c r="D56" s="5">
        <v>0</v>
      </c>
      <c r="E56" s="5">
        <v>1</v>
      </c>
      <c r="F56" s="5">
        <v>1</v>
      </c>
      <c r="G56" s="5">
        <v>1</v>
      </c>
      <c r="H56" s="5">
        <v>1</v>
      </c>
      <c r="I56" s="5">
        <v>1</v>
      </c>
      <c r="J56" s="5">
        <v>1</v>
      </c>
      <c r="K56" s="5">
        <v>1</v>
      </c>
      <c r="L56" s="5">
        <v>1</v>
      </c>
      <c r="M56" s="5">
        <v>0</v>
      </c>
      <c r="N56" s="5">
        <v>0</v>
      </c>
    </row>
    <row r="57" s="4" customFormat="1" customHeight="1" spans="1:14">
      <c r="A57" s="5" t="s">
        <v>1216</v>
      </c>
      <c r="B57" s="5" t="s">
        <v>1389</v>
      </c>
      <c r="C57" s="5">
        <v>0</v>
      </c>
      <c r="D57" s="5">
        <v>0</v>
      </c>
      <c r="E57" s="5">
        <v>0</v>
      </c>
      <c r="F57" s="5">
        <v>0</v>
      </c>
      <c r="G57" s="5">
        <v>0</v>
      </c>
      <c r="H57" s="5">
        <v>0</v>
      </c>
      <c r="I57" s="5">
        <v>1</v>
      </c>
      <c r="J57" s="5">
        <v>1</v>
      </c>
      <c r="K57" s="5">
        <v>1</v>
      </c>
      <c r="L57" s="5">
        <v>0</v>
      </c>
      <c r="M57" s="5">
        <v>0</v>
      </c>
      <c r="N57" s="5">
        <v>0</v>
      </c>
    </row>
    <row r="58" s="4" customFormat="1" customHeight="1" spans="1:14">
      <c r="A58" s="5" t="s">
        <v>1239</v>
      </c>
      <c r="B58" s="5" t="s">
        <v>1390</v>
      </c>
      <c r="C58" s="5">
        <v>0</v>
      </c>
      <c r="D58" s="5">
        <v>0</v>
      </c>
      <c r="E58" s="5">
        <v>0</v>
      </c>
      <c r="F58" s="5">
        <v>0</v>
      </c>
      <c r="G58" s="5">
        <v>0</v>
      </c>
      <c r="H58" s="5">
        <v>0</v>
      </c>
      <c r="I58" s="5">
        <v>0</v>
      </c>
      <c r="J58" s="5">
        <v>0</v>
      </c>
      <c r="K58" s="5">
        <v>0</v>
      </c>
      <c r="L58" s="5">
        <v>1</v>
      </c>
      <c r="M58" s="5">
        <v>0</v>
      </c>
      <c r="N58" s="5">
        <v>0</v>
      </c>
    </row>
    <row r="59" s="4" customFormat="1" customHeight="1" spans="1:14">
      <c r="A59" s="5" t="s">
        <v>1248</v>
      </c>
      <c r="B59" s="5" t="s">
        <v>1391</v>
      </c>
      <c r="C59" s="5">
        <v>1</v>
      </c>
      <c r="D59" s="5">
        <v>0</v>
      </c>
      <c r="E59" s="5">
        <v>1</v>
      </c>
      <c r="F59" s="5">
        <v>0</v>
      </c>
      <c r="G59" s="5">
        <v>0</v>
      </c>
      <c r="H59" s="5">
        <v>0</v>
      </c>
      <c r="I59" s="5">
        <v>0</v>
      </c>
      <c r="J59" s="5">
        <v>0</v>
      </c>
      <c r="K59" s="5">
        <v>1</v>
      </c>
      <c r="L59" s="5">
        <v>1</v>
      </c>
      <c r="M59" s="5">
        <v>1</v>
      </c>
      <c r="N59" s="5">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9"/>
  <sheetViews>
    <sheetView workbookViewId="0">
      <selection activeCell="C4" sqref="C4"/>
    </sheetView>
  </sheetViews>
  <sheetFormatPr defaultColWidth="8.88888888888889" defaultRowHeight="14.4"/>
  <cols>
    <col min="1" max="1" width="6" customWidth="1"/>
    <col min="2" max="2" width="36.5555555555556" customWidth="1"/>
    <col min="3" max="3" width="8" customWidth="1"/>
    <col min="4" max="4" width="5.55555555555556" customWidth="1"/>
    <col min="5" max="5" width="8.11111111111111" customWidth="1"/>
    <col min="6" max="6" width="8" customWidth="1"/>
    <col min="7" max="7" width="8.33333333333333" customWidth="1"/>
    <col min="8" max="8" width="16.5555555555556" customWidth="1"/>
    <col min="9" max="9" width="17" customWidth="1"/>
  </cols>
  <sheetData>
    <row r="1" ht="15" customHeight="1" spans="1:9">
      <c r="A1" s="2" t="s">
        <v>1392</v>
      </c>
      <c r="B1" s="2" t="s">
        <v>1</v>
      </c>
      <c r="C1" s="2" t="s">
        <v>1393</v>
      </c>
      <c r="D1" s="2" t="s">
        <v>91</v>
      </c>
      <c r="E1" s="2" t="s">
        <v>72</v>
      </c>
      <c r="F1" s="2" t="s">
        <v>50</v>
      </c>
      <c r="G1" s="2" t="s">
        <v>1394</v>
      </c>
      <c r="H1" s="2" t="s">
        <v>1395</v>
      </c>
      <c r="I1" s="2" t="s">
        <v>1396</v>
      </c>
    </row>
    <row r="2" ht="15" customHeight="1" spans="1:9">
      <c r="A2" s="3">
        <v>0</v>
      </c>
      <c r="B2" s="3" t="s">
        <v>1397</v>
      </c>
      <c r="C2" s="3" t="s">
        <v>1398</v>
      </c>
      <c r="D2" s="3">
        <v>1</v>
      </c>
      <c r="E2" s="3">
        <v>2</v>
      </c>
      <c r="F2" s="3">
        <v>2</v>
      </c>
      <c r="G2" s="3">
        <v>3</v>
      </c>
      <c r="H2" s="3" t="b">
        <v>1</v>
      </c>
      <c r="I2" s="3" t="s">
        <v>1399</v>
      </c>
    </row>
    <row r="3" ht="15" customHeight="1" spans="1:9">
      <c r="A3" s="3">
        <v>1</v>
      </c>
      <c r="B3" s="3" t="s">
        <v>1400</v>
      </c>
      <c r="C3" s="3" t="s">
        <v>1401</v>
      </c>
      <c r="D3" s="3">
        <v>3</v>
      </c>
      <c r="E3" s="3">
        <v>3</v>
      </c>
      <c r="F3" s="3">
        <v>3</v>
      </c>
      <c r="G3" s="3">
        <v>3</v>
      </c>
      <c r="H3" s="3" t="b">
        <v>1</v>
      </c>
      <c r="I3" s="3" t="s">
        <v>1399</v>
      </c>
    </row>
    <row r="4" ht="15" customHeight="1" spans="1:9">
      <c r="A4" s="3">
        <v>2</v>
      </c>
      <c r="B4" s="3" t="s">
        <v>1402</v>
      </c>
      <c r="C4" s="3" t="s">
        <v>1403</v>
      </c>
      <c r="D4" s="3">
        <v>2</v>
      </c>
      <c r="E4" s="3">
        <v>3</v>
      </c>
      <c r="F4" s="3">
        <v>2</v>
      </c>
      <c r="G4" s="3">
        <v>3</v>
      </c>
      <c r="H4" s="3" t="b">
        <v>1</v>
      </c>
      <c r="I4" s="3" t="s">
        <v>1399</v>
      </c>
    </row>
    <row r="5" ht="15" customHeight="1" spans="1:9">
      <c r="A5" s="3">
        <v>3</v>
      </c>
      <c r="B5" s="3" t="s">
        <v>1404</v>
      </c>
      <c r="C5" s="3" t="s">
        <v>1405</v>
      </c>
      <c r="D5" s="3">
        <v>1</v>
      </c>
      <c r="E5" s="3">
        <v>1</v>
      </c>
      <c r="F5" s="3">
        <v>3</v>
      </c>
      <c r="G5" s="3">
        <v>3</v>
      </c>
      <c r="H5" s="3" t="b">
        <v>1</v>
      </c>
      <c r="I5" s="3" t="s">
        <v>1399</v>
      </c>
    </row>
    <row r="6" ht="15" customHeight="1" spans="1:9">
      <c r="A6" s="3">
        <v>4</v>
      </c>
      <c r="B6" s="3" t="s">
        <v>1406</v>
      </c>
      <c r="C6" s="3" t="s">
        <v>1407</v>
      </c>
      <c r="D6" s="3">
        <v>2</v>
      </c>
      <c r="E6" s="3">
        <v>4</v>
      </c>
      <c r="F6" s="3">
        <v>3</v>
      </c>
      <c r="G6" s="3">
        <v>3</v>
      </c>
      <c r="H6" s="3" t="b">
        <v>1</v>
      </c>
      <c r="I6" s="3" t="s">
        <v>1399</v>
      </c>
    </row>
    <row r="7" ht="15" customHeight="1" spans="1:9">
      <c r="A7" s="3">
        <v>5</v>
      </c>
      <c r="B7" s="3" t="s">
        <v>1408</v>
      </c>
      <c r="C7" s="3" t="s">
        <v>1409</v>
      </c>
      <c r="D7" s="3">
        <v>2</v>
      </c>
      <c r="E7" s="3">
        <v>4</v>
      </c>
      <c r="F7" s="3">
        <v>3</v>
      </c>
      <c r="G7" s="3">
        <v>3</v>
      </c>
      <c r="H7" s="3" t="b">
        <v>1</v>
      </c>
      <c r="I7" s="3" t="s">
        <v>1399</v>
      </c>
    </row>
    <row r="8" ht="15" customHeight="1" spans="1:9">
      <c r="A8" s="3">
        <v>6</v>
      </c>
      <c r="B8" s="3" t="s">
        <v>1410</v>
      </c>
      <c r="C8" s="3" t="s">
        <v>1411</v>
      </c>
      <c r="D8" s="3">
        <v>1</v>
      </c>
      <c r="E8" s="3">
        <v>3</v>
      </c>
      <c r="F8" s="3">
        <v>2</v>
      </c>
      <c r="G8" s="3">
        <v>3</v>
      </c>
      <c r="H8" s="3" t="b">
        <v>1</v>
      </c>
      <c r="I8" s="3" t="s">
        <v>1399</v>
      </c>
    </row>
    <row r="9" ht="15" customHeight="1" spans="1:9">
      <c r="A9" s="3">
        <v>7</v>
      </c>
      <c r="B9" s="3" t="s">
        <v>1412</v>
      </c>
      <c r="C9" s="3" t="s">
        <v>1413</v>
      </c>
      <c r="D9" s="3">
        <v>1</v>
      </c>
      <c r="E9" s="3">
        <v>1</v>
      </c>
      <c r="F9" s="3">
        <v>3</v>
      </c>
      <c r="G9" s="3">
        <v>3</v>
      </c>
      <c r="H9" s="3" t="b">
        <v>1</v>
      </c>
      <c r="I9" s="3" t="s">
        <v>1399</v>
      </c>
    </row>
    <row r="10" ht="15" customHeight="1" spans="1:9">
      <c r="A10" s="3">
        <v>8</v>
      </c>
      <c r="B10" s="3" t="s">
        <v>1414</v>
      </c>
      <c r="C10" s="3" t="s">
        <v>1415</v>
      </c>
      <c r="D10" s="3">
        <v>1</v>
      </c>
      <c r="E10" s="3">
        <v>2</v>
      </c>
      <c r="F10" s="3">
        <v>2</v>
      </c>
      <c r="G10" s="3">
        <v>3</v>
      </c>
      <c r="H10" s="3" t="b">
        <v>1</v>
      </c>
      <c r="I10" s="3" t="s">
        <v>1399</v>
      </c>
    </row>
    <row r="11" ht="15" customHeight="1" spans="1:9">
      <c r="A11" s="3">
        <v>9</v>
      </c>
      <c r="B11" s="3" t="s">
        <v>1416</v>
      </c>
      <c r="C11" s="3" t="s">
        <v>1417</v>
      </c>
      <c r="D11" s="3">
        <v>1</v>
      </c>
      <c r="E11" s="3">
        <v>1</v>
      </c>
      <c r="F11" s="3">
        <v>2</v>
      </c>
      <c r="G11" s="3">
        <v>3</v>
      </c>
      <c r="H11" s="3" t="b">
        <v>1</v>
      </c>
      <c r="I11" s="3" t="s">
        <v>1399</v>
      </c>
    </row>
    <row r="12" ht="15" customHeight="1" spans="1:9">
      <c r="A12" s="3">
        <v>10</v>
      </c>
      <c r="B12" s="3" t="s">
        <v>1418</v>
      </c>
      <c r="C12" s="3" t="s">
        <v>1419</v>
      </c>
      <c r="D12" s="3">
        <v>2</v>
      </c>
      <c r="E12" s="3">
        <v>2</v>
      </c>
      <c r="F12" s="3">
        <v>2</v>
      </c>
      <c r="G12" s="3">
        <v>3</v>
      </c>
      <c r="H12" s="3" t="b">
        <v>1</v>
      </c>
      <c r="I12" s="3" t="s">
        <v>1399</v>
      </c>
    </row>
    <row r="13" ht="15" customHeight="1" spans="1:9">
      <c r="A13" s="3">
        <v>11</v>
      </c>
      <c r="B13" s="3" t="s">
        <v>1420</v>
      </c>
      <c r="C13" s="3" t="s">
        <v>1421</v>
      </c>
      <c r="D13" s="3">
        <v>1</v>
      </c>
      <c r="E13" s="3">
        <v>2</v>
      </c>
      <c r="F13" s="3">
        <v>3</v>
      </c>
      <c r="G13" s="3">
        <v>3</v>
      </c>
      <c r="H13" s="3" t="b">
        <v>1</v>
      </c>
      <c r="I13" s="3" t="s">
        <v>1399</v>
      </c>
    </row>
    <row r="14" ht="15" customHeight="1" spans="1:9">
      <c r="A14" s="3">
        <v>12</v>
      </c>
      <c r="B14" s="3" t="s">
        <v>1422</v>
      </c>
      <c r="C14" s="3" t="s">
        <v>1423</v>
      </c>
      <c r="D14" s="3">
        <v>3</v>
      </c>
      <c r="E14" s="3">
        <v>3</v>
      </c>
      <c r="F14" s="3">
        <v>3</v>
      </c>
      <c r="G14" s="3">
        <v>3</v>
      </c>
      <c r="H14" s="3" t="b">
        <v>1</v>
      </c>
      <c r="I14" s="3" t="s">
        <v>1399</v>
      </c>
    </row>
    <row r="15" ht="15" customHeight="1" spans="1:9">
      <c r="A15" s="3">
        <v>13</v>
      </c>
      <c r="B15" s="3" t="s">
        <v>1424</v>
      </c>
      <c r="C15" s="3" t="s">
        <v>1425</v>
      </c>
      <c r="D15" s="3">
        <v>1</v>
      </c>
      <c r="E15" s="3">
        <v>2</v>
      </c>
      <c r="F15" s="3">
        <v>2</v>
      </c>
      <c r="G15" s="3">
        <v>3</v>
      </c>
      <c r="H15" s="3" t="b">
        <v>1</v>
      </c>
      <c r="I15" s="3" t="s">
        <v>1399</v>
      </c>
    </row>
    <row r="16" ht="15" customHeight="1" spans="1:9">
      <c r="A16" s="3">
        <v>14</v>
      </c>
      <c r="B16" s="3" t="s">
        <v>1426</v>
      </c>
      <c r="C16" s="3" t="s">
        <v>1427</v>
      </c>
      <c r="D16" s="3">
        <v>1</v>
      </c>
      <c r="E16" s="3">
        <v>2</v>
      </c>
      <c r="F16" s="3">
        <v>3</v>
      </c>
      <c r="G16" s="3">
        <v>3</v>
      </c>
      <c r="H16" s="3" t="b">
        <v>1</v>
      </c>
      <c r="I16" s="3" t="s">
        <v>1399</v>
      </c>
    </row>
    <row r="17" ht="15" customHeight="1" spans="1:9">
      <c r="A17" s="3">
        <v>15</v>
      </c>
      <c r="B17" s="3" t="s">
        <v>1428</v>
      </c>
      <c r="C17" s="3" t="s">
        <v>1429</v>
      </c>
      <c r="D17" s="3">
        <v>1</v>
      </c>
      <c r="E17" s="3">
        <v>1</v>
      </c>
      <c r="F17" s="3">
        <v>3</v>
      </c>
      <c r="G17" s="3">
        <v>3</v>
      </c>
      <c r="H17" s="3" t="b">
        <v>1</v>
      </c>
      <c r="I17" s="3" t="s">
        <v>1399</v>
      </c>
    </row>
    <row r="18" ht="15" customHeight="1" spans="1:9">
      <c r="A18" s="3">
        <v>16</v>
      </c>
      <c r="B18" s="3" t="s">
        <v>1430</v>
      </c>
      <c r="C18" s="3" t="s">
        <v>1431</v>
      </c>
      <c r="D18" s="3">
        <v>1</v>
      </c>
      <c r="E18" s="3">
        <v>2</v>
      </c>
      <c r="F18" s="3">
        <v>2</v>
      </c>
      <c r="G18" s="3">
        <v>3</v>
      </c>
      <c r="H18" s="3" t="b">
        <v>1</v>
      </c>
      <c r="I18" s="3" t="s">
        <v>1399</v>
      </c>
    </row>
    <row r="19" ht="15" customHeight="1" spans="1:9">
      <c r="A19" s="3">
        <v>17</v>
      </c>
      <c r="B19" s="3" t="s">
        <v>1432</v>
      </c>
      <c r="C19" s="3" t="s">
        <v>1433</v>
      </c>
      <c r="D19" s="3">
        <v>1</v>
      </c>
      <c r="E19" s="3">
        <v>2</v>
      </c>
      <c r="F19" s="3">
        <v>2</v>
      </c>
      <c r="G19" s="3">
        <v>3</v>
      </c>
      <c r="H19" s="3" t="b">
        <v>1</v>
      </c>
      <c r="I19" s="3" t="s">
        <v>1399</v>
      </c>
    </row>
    <row r="20" ht="15" customHeight="1" spans="1:9">
      <c r="A20" s="3">
        <v>18</v>
      </c>
      <c r="B20" s="3" t="s">
        <v>1434</v>
      </c>
      <c r="C20" s="3" t="s">
        <v>1435</v>
      </c>
      <c r="D20" s="3">
        <v>3</v>
      </c>
      <c r="E20" s="3">
        <v>2</v>
      </c>
      <c r="F20" s="3">
        <v>2</v>
      </c>
      <c r="G20" s="3">
        <v>3</v>
      </c>
      <c r="H20" s="3" t="b">
        <v>1</v>
      </c>
      <c r="I20" s="3" t="s">
        <v>1399</v>
      </c>
    </row>
    <row r="21" ht="15" customHeight="1" spans="1:9">
      <c r="A21" s="3">
        <v>19</v>
      </c>
      <c r="B21" s="3" t="s">
        <v>1436</v>
      </c>
      <c r="C21" s="3" t="s">
        <v>1437</v>
      </c>
      <c r="D21" s="3">
        <v>1</v>
      </c>
      <c r="E21" s="3">
        <v>3</v>
      </c>
      <c r="F21" s="3">
        <v>5</v>
      </c>
      <c r="G21" s="3">
        <v>3</v>
      </c>
      <c r="H21" s="3" t="b">
        <v>1</v>
      </c>
      <c r="I21" s="3" t="s">
        <v>1399</v>
      </c>
    </row>
    <row r="22" ht="15" customHeight="1" spans="1:9">
      <c r="A22" s="3">
        <v>20</v>
      </c>
      <c r="B22" s="3" t="s">
        <v>1438</v>
      </c>
      <c r="C22" s="3" t="s">
        <v>1439</v>
      </c>
      <c r="D22" s="3">
        <v>1</v>
      </c>
      <c r="E22" s="3">
        <v>2</v>
      </c>
      <c r="F22" s="3">
        <v>2</v>
      </c>
      <c r="G22" s="3">
        <v>3</v>
      </c>
      <c r="H22" s="3" t="b">
        <v>1</v>
      </c>
      <c r="I22" s="3" t="s">
        <v>1399</v>
      </c>
    </row>
    <row r="23" ht="15" customHeight="1" spans="1:9">
      <c r="A23" s="3">
        <v>21</v>
      </c>
      <c r="B23" s="3" t="s">
        <v>1440</v>
      </c>
      <c r="C23" s="3" t="s">
        <v>1441</v>
      </c>
      <c r="D23" s="3">
        <v>1</v>
      </c>
      <c r="E23" s="3">
        <v>2</v>
      </c>
      <c r="F23" s="3">
        <v>2</v>
      </c>
      <c r="G23" s="3">
        <v>3</v>
      </c>
      <c r="H23" s="3" t="b">
        <v>1</v>
      </c>
      <c r="I23" s="3" t="s">
        <v>1399</v>
      </c>
    </row>
    <row r="24" ht="15" customHeight="1" spans="1:9">
      <c r="A24" s="3">
        <v>22</v>
      </c>
      <c r="B24" s="3" t="s">
        <v>1442</v>
      </c>
      <c r="C24" s="3" t="s">
        <v>1443</v>
      </c>
      <c r="D24" s="3">
        <v>1</v>
      </c>
      <c r="E24" s="3">
        <v>2</v>
      </c>
      <c r="F24" s="3">
        <v>1</v>
      </c>
      <c r="G24" s="3">
        <v>3</v>
      </c>
      <c r="H24" s="3" t="b">
        <v>1</v>
      </c>
      <c r="I24" s="3" t="s">
        <v>1399</v>
      </c>
    </row>
    <row r="25" ht="15" customHeight="1" spans="1:9">
      <c r="A25" s="3">
        <v>23</v>
      </c>
      <c r="B25" s="3" t="s">
        <v>1444</v>
      </c>
      <c r="C25" s="3" t="s">
        <v>1445</v>
      </c>
      <c r="D25" s="3">
        <v>1</v>
      </c>
      <c r="E25" s="3">
        <v>1</v>
      </c>
      <c r="F25" s="3">
        <v>2</v>
      </c>
      <c r="G25" s="3">
        <v>3</v>
      </c>
      <c r="H25" s="3" t="b">
        <v>1</v>
      </c>
      <c r="I25" s="3" t="s">
        <v>1399</v>
      </c>
    </row>
    <row r="26" ht="15" customHeight="1" spans="1:9">
      <c r="A26" s="3">
        <v>24</v>
      </c>
      <c r="B26" s="3" t="s">
        <v>1446</v>
      </c>
      <c r="C26" s="3" t="s">
        <v>1447</v>
      </c>
      <c r="D26" s="3">
        <v>3</v>
      </c>
      <c r="E26" s="3">
        <v>2</v>
      </c>
      <c r="F26" s="3">
        <v>2</v>
      </c>
      <c r="G26" s="3">
        <v>3</v>
      </c>
      <c r="H26" s="3" t="b">
        <v>1</v>
      </c>
      <c r="I26" s="3" t="s">
        <v>1399</v>
      </c>
    </row>
    <row r="27" ht="15" customHeight="1" spans="1:9">
      <c r="A27" s="3">
        <v>25</v>
      </c>
      <c r="B27" s="3" t="s">
        <v>1448</v>
      </c>
      <c r="C27" s="3" t="s">
        <v>1449</v>
      </c>
      <c r="D27" s="3">
        <v>1</v>
      </c>
      <c r="E27" s="3">
        <v>2</v>
      </c>
      <c r="F27" s="3">
        <v>2</v>
      </c>
      <c r="G27" s="3">
        <v>3</v>
      </c>
      <c r="H27" s="3" t="b">
        <v>1</v>
      </c>
      <c r="I27" s="3" t="s">
        <v>1399</v>
      </c>
    </row>
    <row r="28" ht="15" customHeight="1" spans="1:9">
      <c r="A28" s="3">
        <v>26</v>
      </c>
      <c r="B28" s="3" t="s">
        <v>1450</v>
      </c>
      <c r="C28" s="3" t="s">
        <v>1451</v>
      </c>
      <c r="D28" s="3">
        <v>1</v>
      </c>
      <c r="E28" s="3">
        <v>1</v>
      </c>
      <c r="F28" s="3">
        <v>2</v>
      </c>
      <c r="G28" s="3">
        <v>3</v>
      </c>
      <c r="H28" s="3" t="b">
        <v>1</v>
      </c>
      <c r="I28" s="3" t="s">
        <v>1399</v>
      </c>
    </row>
    <row r="29" ht="15" customHeight="1" spans="1:9">
      <c r="A29" s="3">
        <v>27</v>
      </c>
      <c r="B29" s="3" t="s">
        <v>1452</v>
      </c>
      <c r="C29" s="3" t="s">
        <v>1453</v>
      </c>
      <c r="D29" s="3">
        <v>1</v>
      </c>
      <c r="E29" s="3">
        <v>2</v>
      </c>
      <c r="F29" s="3">
        <v>2</v>
      </c>
      <c r="G29" s="3">
        <v>3</v>
      </c>
      <c r="H29" s="3" t="b">
        <v>1</v>
      </c>
      <c r="I29" s="3" t="s">
        <v>1399</v>
      </c>
    </row>
    <row r="30" ht="15" customHeight="1" spans="1:9">
      <c r="A30" s="3">
        <v>28</v>
      </c>
      <c r="B30" s="3" t="s">
        <v>1454</v>
      </c>
      <c r="C30" s="3" t="s">
        <v>1455</v>
      </c>
      <c r="D30" s="3">
        <v>1</v>
      </c>
      <c r="E30" s="3">
        <v>2</v>
      </c>
      <c r="F30" s="3">
        <v>2</v>
      </c>
      <c r="G30" s="3">
        <v>3</v>
      </c>
      <c r="H30" s="3" t="b">
        <v>1</v>
      </c>
      <c r="I30" s="3" t="s">
        <v>1399</v>
      </c>
    </row>
    <row r="31" ht="15" customHeight="1" spans="1:9">
      <c r="A31" s="3">
        <v>29</v>
      </c>
      <c r="B31" s="3" t="s">
        <v>1456</v>
      </c>
      <c r="C31" s="3" t="s">
        <v>1457</v>
      </c>
      <c r="D31" s="3">
        <v>1</v>
      </c>
      <c r="E31" s="3">
        <v>1</v>
      </c>
      <c r="F31" s="3">
        <v>3</v>
      </c>
      <c r="G31" s="3">
        <v>3</v>
      </c>
      <c r="H31" s="3" t="b">
        <v>1</v>
      </c>
      <c r="I31" s="3" t="s">
        <v>1399</v>
      </c>
    </row>
    <row r="32" ht="15" customHeight="1" spans="1:9">
      <c r="A32" s="3">
        <v>30</v>
      </c>
      <c r="B32" s="3" t="s">
        <v>1458</v>
      </c>
      <c r="C32" s="3" t="s">
        <v>1459</v>
      </c>
      <c r="D32" s="3">
        <v>1</v>
      </c>
      <c r="E32" s="3">
        <v>3</v>
      </c>
      <c r="F32" s="3">
        <v>2</v>
      </c>
      <c r="G32" s="3">
        <v>3</v>
      </c>
      <c r="H32" s="3" t="b">
        <v>1</v>
      </c>
      <c r="I32" s="3" t="s">
        <v>1399</v>
      </c>
    </row>
    <row r="33" ht="15" customHeight="1" spans="1:9">
      <c r="A33" s="3">
        <v>31</v>
      </c>
      <c r="B33" s="3" t="s">
        <v>1460</v>
      </c>
      <c r="C33" s="3" t="s">
        <v>1461</v>
      </c>
      <c r="D33" s="3">
        <v>1</v>
      </c>
      <c r="E33" s="3">
        <v>3</v>
      </c>
      <c r="F33" s="3">
        <v>2</v>
      </c>
      <c r="G33" s="3">
        <v>3</v>
      </c>
      <c r="H33" s="3" t="b">
        <v>1</v>
      </c>
      <c r="I33" s="3" t="s">
        <v>1399</v>
      </c>
    </row>
    <row r="34" ht="15" customHeight="1" spans="1:9">
      <c r="A34" s="3">
        <v>32</v>
      </c>
      <c r="B34" s="3" t="s">
        <v>1462</v>
      </c>
      <c r="C34" s="3" t="s">
        <v>1463</v>
      </c>
      <c r="D34" s="3">
        <v>2</v>
      </c>
      <c r="E34" s="3">
        <v>3</v>
      </c>
      <c r="F34" s="3">
        <v>3</v>
      </c>
      <c r="G34" s="3">
        <v>3</v>
      </c>
      <c r="H34" s="3" t="b">
        <v>1</v>
      </c>
      <c r="I34" s="3" t="s">
        <v>1399</v>
      </c>
    </row>
    <row r="35" ht="15" customHeight="1" spans="1:9">
      <c r="A35" s="3">
        <v>33</v>
      </c>
      <c r="B35" s="3" t="s">
        <v>1464</v>
      </c>
      <c r="C35" s="3" t="s">
        <v>1465</v>
      </c>
      <c r="D35" s="3">
        <v>1</v>
      </c>
      <c r="E35" s="3">
        <v>2</v>
      </c>
      <c r="F35" s="3">
        <v>2</v>
      </c>
      <c r="G35" s="3">
        <v>3</v>
      </c>
      <c r="H35" s="3" t="b">
        <v>1</v>
      </c>
      <c r="I35" s="3" t="s">
        <v>1399</v>
      </c>
    </row>
    <row r="36" ht="15" customHeight="1" spans="1:9">
      <c r="A36" s="3">
        <v>34</v>
      </c>
      <c r="B36" s="3" t="s">
        <v>1466</v>
      </c>
      <c r="C36" s="3" t="s">
        <v>1467</v>
      </c>
      <c r="D36" s="3">
        <v>1</v>
      </c>
      <c r="E36" s="3">
        <v>2</v>
      </c>
      <c r="F36" s="3">
        <v>2</v>
      </c>
      <c r="G36" s="3">
        <v>3</v>
      </c>
      <c r="H36" s="3" t="b">
        <v>1</v>
      </c>
      <c r="I36" s="3" t="s">
        <v>1399</v>
      </c>
    </row>
    <row r="37" ht="15" customHeight="1" spans="1:9">
      <c r="A37" s="3">
        <v>35</v>
      </c>
      <c r="B37" s="3" t="s">
        <v>1468</v>
      </c>
      <c r="C37" s="3" t="s">
        <v>1469</v>
      </c>
      <c r="D37" s="3">
        <v>1</v>
      </c>
      <c r="E37" s="3">
        <v>1</v>
      </c>
      <c r="F37" s="3">
        <v>2</v>
      </c>
      <c r="G37" s="3">
        <v>3</v>
      </c>
      <c r="H37" s="3" t="b">
        <v>1</v>
      </c>
      <c r="I37" s="3" t="s">
        <v>1399</v>
      </c>
    </row>
    <row r="38" ht="15" customHeight="1" spans="1:9">
      <c r="A38" s="3">
        <v>36</v>
      </c>
      <c r="B38" s="3" t="s">
        <v>1470</v>
      </c>
      <c r="C38" s="3" t="s">
        <v>1471</v>
      </c>
      <c r="D38" s="3">
        <v>1</v>
      </c>
      <c r="E38" s="3">
        <v>2</v>
      </c>
      <c r="F38" s="3">
        <v>2</v>
      </c>
      <c r="G38" s="3">
        <v>3</v>
      </c>
      <c r="H38" s="3" t="b">
        <v>1</v>
      </c>
      <c r="I38" s="3" t="s">
        <v>1399</v>
      </c>
    </row>
    <row r="39" ht="15" customHeight="1" spans="1:9">
      <c r="A39" s="3">
        <v>37</v>
      </c>
      <c r="B39" s="3" t="s">
        <v>1472</v>
      </c>
      <c r="C39" s="3" t="s">
        <v>1473</v>
      </c>
      <c r="D39" s="3">
        <v>3</v>
      </c>
      <c r="E39" s="3">
        <v>2</v>
      </c>
      <c r="F39" s="3">
        <v>2</v>
      </c>
      <c r="G39" s="3">
        <v>3</v>
      </c>
      <c r="H39" s="3" t="b">
        <v>1</v>
      </c>
      <c r="I39" s="3" t="s">
        <v>1399</v>
      </c>
    </row>
    <row r="40" ht="15" customHeight="1" spans="1:9">
      <c r="A40" s="3">
        <v>38</v>
      </c>
      <c r="B40" s="3" t="s">
        <v>1474</v>
      </c>
      <c r="C40" s="3" t="s">
        <v>1475</v>
      </c>
      <c r="D40" s="3">
        <v>1</v>
      </c>
      <c r="E40" s="3">
        <v>2</v>
      </c>
      <c r="F40" s="3">
        <v>4</v>
      </c>
      <c r="G40" s="3">
        <v>3</v>
      </c>
      <c r="H40" s="3" t="b">
        <v>1</v>
      </c>
      <c r="I40" s="3" t="s">
        <v>1399</v>
      </c>
    </row>
    <row r="41" ht="15" customHeight="1" spans="1:9">
      <c r="A41" s="3">
        <v>39</v>
      </c>
      <c r="B41" s="3" t="s">
        <v>1476</v>
      </c>
      <c r="C41" s="3" t="s">
        <v>1477</v>
      </c>
      <c r="D41" s="3">
        <v>1</v>
      </c>
      <c r="E41" s="3">
        <v>1</v>
      </c>
      <c r="F41" s="3">
        <v>2</v>
      </c>
      <c r="G41" s="3">
        <v>3</v>
      </c>
      <c r="H41" s="3" t="b">
        <v>1</v>
      </c>
      <c r="I41" s="3" t="s">
        <v>1399</v>
      </c>
    </row>
    <row r="42" ht="15" customHeight="1" spans="1:9">
      <c r="A42" s="3">
        <v>40</v>
      </c>
      <c r="B42" s="3" t="s">
        <v>1478</v>
      </c>
      <c r="C42" s="3" t="s">
        <v>1479</v>
      </c>
      <c r="D42" s="3">
        <v>1</v>
      </c>
      <c r="E42" s="3">
        <v>2</v>
      </c>
      <c r="F42" s="3">
        <v>2</v>
      </c>
      <c r="G42" s="3">
        <v>3</v>
      </c>
      <c r="H42" s="3" t="b">
        <v>1</v>
      </c>
      <c r="I42" s="3" t="s">
        <v>1399</v>
      </c>
    </row>
    <row r="43" ht="15" customHeight="1" spans="1:9">
      <c r="A43" s="3">
        <v>41</v>
      </c>
      <c r="B43" s="3" t="s">
        <v>1480</v>
      </c>
      <c r="C43" s="3" t="s">
        <v>1481</v>
      </c>
      <c r="D43" s="3">
        <v>1</v>
      </c>
      <c r="E43" s="3">
        <v>2</v>
      </c>
      <c r="F43" s="3">
        <v>3</v>
      </c>
      <c r="G43" s="3">
        <v>3</v>
      </c>
      <c r="H43" s="3" t="b">
        <v>1</v>
      </c>
      <c r="I43" s="3" t="s">
        <v>1399</v>
      </c>
    </row>
    <row r="44" ht="15" customHeight="1" spans="1:9">
      <c r="A44" s="3">
        <v>42</v>
      </c>
      <c r="B44" s="3" t="s">
        <v>1482</v>
      </c>
      <c r="C44" s="3" t="s">
        <v>1483</v>
      </c>
      <c r="D44" s="3">
        <v>1</v>
      </c>
      <c r="E44" s="3">
        <v>1</v>
      </c>
      <c r="F44" s="3">
        <v>2</v>
      </c>
      <c r="G44" s="3">
        <v>3</v>
      </c>
      <c r="H44" s="3" t="b">
        <v>1</v>
      </c>
      <c r="I44" s="3" t="s">
        <v>1399</v>
      </c>
    </row>
    <row r="45" ht="15" customHeight="1" spans="1:9">
      <c r="A45" s="3">
        <v>43</v>
      </c>
      <c r="B45" s="3" t="s">
        <v>1484</v>
      </c>
      <c r="C45" s="3" t="s">
        <v>1485</v>
      </c>
      <c r="D45" s="3">
        <v>2</v>
      </c>
      <c r="E45" s="3">
        <v>4</v>
      </c>
      <c r="F45" s="3">
        <v>3</v>
      </c>
      <c r="G45" s="3">
        <v>3</v>
      </c>
      <c r="H45" s="3" t="b">
        <v>1</v>
      </c>
      <c r="I45" s="3" t="s">
        <v>1399</v>
      </c>
    </row>
    <row r="46" ht="15" customHeight="1" spans="1:9">
      <c r="A46" s="3">
        <v>44</v>
      </c>
      <c r="B46" s="3" t="s">
        <v>1486</v>
      </c>
      <c r="C46" s="3" t="s">
        <v>1487</v>
      </c>
      <c r="D46" s="3">
        <v>1</v>
      </c>
      <c r="E46" s="3">
        <v>2</v>
      </c>
      <c r="F46" s="3">
        <v>2</v>
      </c>
      <c r="G46" s="3">
        <v>3</v>
      </c>
      <c r="H46" s="3" t="b">
        <v>1</v>
      </c>
      <c r="I46" s="3" t="s">
        <v>1399</v>
      </c>
    </row>
    <row r="47" ht="15" customHeight="1" spans="1:9">
      <c r="A47" s="3">
        <v>45</v>
      </c>
      <c r="B47" s="3" t="s">
        <v>1488</v>
      </c>
      <c r="C47" s="3" t="s">
        <v>1489</v>
      </c>
      <c r="D47" s="3">
        <v>2</v>
      </c>
      <c r="E47" s="3">
        <v>2</v>
      </c>
      <c r="F47" s="3">
        <v>2</v>
      </c>
      <c r="G47" s="3">
        <v>3</v>
      </c>
      <c r="H47" s="3" t="b">
        <v>1</v>
      </c>
      <c r="I47" s="3" t="s">
        <v>1399</v>
      </c>
    </row>
    <row r="48" ht="15" customHeight="1" spans="1:9">
      <c r="A48" s="3">
        <v>46</v>
      </c>
      <c r="B48" s="3" t="s">
        <v>1490</v>
      </c>
      <c r="C48" s="3" t="s">
        <v>1491</v>
      </c>
      <c r="D48" s="3">
        <v>1</v>
      </c>
      <c r="E48" s="3">
        <v>2</v>
      </c>
      <c r="F48" s="3">
        <v>2</v>
      </c>
      <c r="G48" s="3">
        <v>3</v>
      </c>
      <c r="H48" s="3" t="b">
        <v>1</v>
      </c>
      <c r="I48" s="3" t="s">
        <v>1399</v>
      </c>
    </row>
    <row r="49" ht="15" customHeight="1" spans="1:9">
      <c r="A49" s="3">
        <v>47</v>
      </c>
      <c r="B49" s="3" t="s">
        <v>1492</v>
      </c>
      <c r="C49" s="3" t="s">
        <v>1493</v>
      </c>
      <c r="D49" s="3">
        <v>1</v>
      </c>
      <c r="E49" s="3">
        <v>1</v>
      </c>
      <c r="F49" s="3">
        <v>3</v>
      </c>
      <c r="G49" s="3">
        <v>3</v>
      </c>
      <c r="H49" s="3" t="b">
        <v>1</v>
      </c>
      <c r="I49" s="3" t="s">
        <v>1399</v>
      </c>
    </row>
    <row r="50" ht="15" customHeight="1" spans="1:9">
      <c r="A50" s="3">
        <v>48</v>
      </c>
      <c r="B50" s="3" t="s">
        <v>1494</v>
      </c>
      <c r="C50" s="3" t="s">
        <v>1495</v>
      </c>
      <c r="D50" s="3">
        <v>2</v>
      </c>
      <c r="E50" s="3">
        <v>2</v>
      </c>
      <c r="F50" s="3">
        <v>1</v>
      </c>
      <c r="G50" s="3">
        <v>3</v>
      </c>
      <c r="H50" s="3" t="b">
        <v>1</v>
      </c>
      <c r="I50" s="3" t="s">
        <v>1399</v>
      </c>
    </row>
    <row r="51" ht="15" customHeight="1" spans="1:9">
      <c r="A51" s="3">
        <v>49</v>
      </c>
      <c r="B51" s="3" t="s">
        <v>1496</v>
      </c>
      <c r="C51" s="3" t="s">
        <v>1497</v>
      </c>
      <c r="D51" s="3">
        <v>1</v>
      </c>
      <c r="E51" s="3">
        <v>2</v>
      </c>
      <c r="F51" s="3">
        <v>3</v>
      </c>
      <c r="G51" s="3">
        <v>3</v>
      </c>
      <c r="H51" s="3" t="b">
        <v>1</v>
      </c>
      <c r="I51" s="3" t="s">
        <v>1399</v>
      </c>
    </row>
    <row r="52" ht="15" customHeight="1" spans="1:9">
      <c r="A52" s="3">
        <v>50</v>
      </c>
      <c r="B52" s="3" t="s">
        <v>1498</v>
      </c>
      <c r="C52" s="3" t="s">
        <v>1499</v>
      </c>
      <c r="D52" s="3">
        <v>3</v>
      </c>
      <c r="E52" s="3">
        <v>2</v>
      </c>
      <c r="F52" s="3">
        <v>2</v>
      </c>
      <c r="G52" s="3">
        <v>3</v>
      </c>
      <c r="H52" s="3" t="b">
        <v>1</v>
      </c>
      <c r="I52" s="3" t="s">
        <v>1399</v>
      </c>
    </row>
    <row r="53" ht="15" customHeight="1" spans="1:9">
      <c r="A53" s="3">
        <v>51</v>
      </c>
      <c r="B53" s="3" t="s">
        <v>1500</v>
      </c>
      <c r="C53" s="3" t="s">
        <v>1501</v>
      </c>
      <c r="D53" s="3">
        <v>1</v>
      </c>
      <c r="E53" s="3">
        <v>3</v>
      </c>
      <c r="F53" s="3">
        <v>2</v>
      </c>
      <c r="G53" s="3">
        <v>3</v>
      </c>
      <c r="H53" s="3" t="b">
        <v>1</v>
      </c>
      <c r="I53" s="3" t="s">
        <v>1399</v>
      </c>
    </row>
    <row r="54" ht="15" customHeight="1" spans="1:9">
      <c r="A54" s="3">
        <v>52</v>
      </c>
      <c r="B54" s="3" t="s">
        <v>1502</v>
      </c>
      <c r="C54" s="3" t="s">
        <v>1503</v>
      </c>
      <c r="D54" s="3">
        <v>2</v>
      </c>
      <c r="E54" s="3">
        <v>3</v>
      </c>
      <c r="F54" s="3">
        <v>3</v>
      </c>
      <c r="G54" s="3">
        <v>3</v>
      </c>
      <c r="H54" s="3" t="b">
        <v>1</v>
      </c>
      <c r="I54" s="3" t="s">
        <v>1399</v>
      </c>
    </row>
    <row r="55" ht="15" customHeight="1" spans="1:9">
      <c r="A55" s="3">
        <v>53</v>
      </c>
      <c r="B55" s="3" t="s">
        <v>1504</v>
      </c>
      <c r="C55" s="3" t="s">
        <v>1505</v>
      </c>
      <c r="D55" s="3">
        <v>1</v>
      </c>
      <c r="E55" s="3">
        <v>1</v>
      </c>
      <c r="F55" s="3">
        <v>3</v>
      </c>
      <c r="G55" s="3">
        <v>3</v>
      </c>
      <c r="H55" s="3" t="b">
        <v>1</v>
      </c>
      <c r="I55" s="3" t="s">
        <v>1399</v>
      </c>
    </row>
    <row r="56" ht="15" customHeight="1" spans="1:9">
      <c r="A56" s="3">
        <v>54</v>
      </c>
      <c r="B56" s="3" t="s">
        <v>1506</v>
      </c>
      <c r="C56" s="3" t="s">
        <v>1507</v>
      </c>
      <c r="D56" s="3">
        <v>1</v>
      </c>
      <c r="E56" s="3">
        <v>3</v>
      </c>
      <c r="F56" s="3">
        <v>2</v>
      </c>
      <c r="G56" s="3">
        <v>3</v>
      </c>
      <c r="H56" s="3" t="b">
        <v>1</v>
      </c>
      <c r="I56" s="3" t="s">
        <v>1399</v>
      </c>
    </row>
    <row r="57" ht="15" customHeight="1" spans="1:9">
      <c r="A57" s="3">
        <v>55</v>
      </c>
      <c r="B57" s="3" t="s">
        <v>1508</v>
      </c>
      <c r="C57" s="3" t="s">
        <v>1509</v>
      </c>
      <c r="D57" s="3">
        <v>2</v>
      </c>
      <c r="E57" s="3">
        <v>2</v>
      </c>
      <c r="F57" s="3">
        <v>2</v>
      </c>
      <c r="G57" s="3">
        <v>3</v>
      </c>
      <c r="H57" s="3" t="b">
        <v>1</v>
      </c>
      <c r="I57" s="3" t="s">
        <v>1399</v>
      </c>
    </row>
    <row r="58" ht="15" customHeight="1" spans="1:9">
      <c r="A58" s="3">
        <v>56</v>
      </c>
      <c r="B58" s="3" t="s">
        <v>1510</v>
      </c>
      <c r="C58" s="3" t="s">
        <v>1511</v>
      </c>
      <c r="D58" s="3">
        <v>1</v>
      </c>
      <c r="E58" s="3">
        <v>1</v>
      </c>
      <c r="F58" s="3">
        <v>2</v>
      </c>
      <c r="G58" s="3">
        <v>3</v>
      </c>
      <c r="H58" s="3" t="b">
        <v>1</v>
      </c>
      <c r="I58" s="3" t="s">
        <v>1399</v>
      </c>
    </row>
    <row r="59" ht="15" customHeight="1" spans="1:9">
      <c r="A59" s="3">
        <v>57</v>
      </c>
      <c r="B59" s="3" t="s">
        <v>1512</v>
      </c>
      <c r="C59" s="3" t="s">
        <v>1513</v>
      </c>
      <c r="D59" s="3">
        <v>2</v>
      </c>
      <c r="E59" s="3">
        <v>1</v>
      </c>
      <c r="F59" s="3">
        <v>2</v>
      </c>
      <c r="G59" s="3">
        <v>3</v>
      </c>
      <c r="H59" s="3" t="b">
        <v>1</v>
      </c>
      <c r="I59" s="3" t="s">
        <v>1399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9"/>
  <sheetViews>
    <sheetView tabSelected="1" topLeftCell="A19" workbookViewId="0">
      <selection activeCell="B30" sqref="B30"/>
    </sheetView>
  </sheetViews>
  <sheetFormatPr defaultColWidth="8.88888888888889" defaultRowHeight="14.4" outlineLevelCol="2"/>
  <cols>
    <col min="1" max="1" width="15.5555555555556" customWidth="1"/>
    <col min="2" max="2" width="93.5555555555556" customWidth="1"/>
    <col min="3" max="3" width="5.88888888888889" customWidth="1"/>
  </cols>
  <sheetData>
    <row r="1" spans="1:3">
      <c r="A1" s="1" t="s">
        <v>1</v>
      </c>
      <c r="B1" s="1" t="s">
        <v>1514</v>
      </c>
      <c r="C1" s="1" t="s">
        <v>1515</v>
      </c>
    </row>
    <row r="2" spans="1:3">
      <c r="A2" s="1" t="s">
        <v>48</v>
      </c>
      <c r="B2" s="1" t="s">
        <v>1516</v>
      </c>
      <c r="C2" s="1">
        <v>2</v>
      </c>
    </row>
    <row r="3" spans="1:3">
      <c r="A3" s="1" t="s">
        <v>94</v>
      </c>
      <c r="B3" s="1" t="s">
        <v>1517</v>
      </c>
      <c r="C3" s="1">
        <v>3</v>
      </c>
    </row>
    <row r="4" spans="1:3">
      <c r="A4" s="1" t="s">
        <v>140</v>
      </c>
      <c r="B4" s="1" t="s">
        <v>1518</v>
      </c>
      <c r="C4" s="1">
        <v>4</v>
      </c>
    </row>
    <row r="5" spans="1:3">
      <c r="A5" s="1" t="s">
        <v>183</v>
      </c>
      <c r="B5" s="1" t="s">
        <v>1329</v>
      </c>
      <c r="C5" s="1">
        <v>1</v>
      </c>
    </row>
    <row r="6" spans="1:3">
      <c r="A6" s="1" t="s">
        <v>202</v>
      </c>
      <c r="B6" s="1" t="s">
        <v>1519</v>
      </c>
      <c r="C6" s="1">
        <v>2</v>
      </c>
    </row>
    <row r="7" spans="1:3">
      <c r="A7" s="1" t="s">
        <v>242</v>
      </c>
      <c r="B7" s="1" t="s">
        <v>1520</v>
      </c>
      <c r="C7" s="1">
        <v>3</v>
      </c>
    </row>
    <row r="8" spans="1:3">
      <c r="A8" s="1" t="s">
        <v>263</v>
      </c>
      <c r="B8" s="1" t="s">
        <v>1521</v>
      </c>
      <c r="C8" s="1">
        <v>4</v>
      </c>
    </row>
    <row r="9" spans="1:3">
      <c r="A9" s="1" t="s">
        <v>294</v>
      </c>
      <c r="B9" s="1" t="s">
        <v>1522</v>
      </c>
      <c r="C9" s="1">
        <v>2</v>
      </c>
    </row>
    <row r="10" spans="1:3">
      <c r="A10" s="1" t="s">
        <v>316</v>
      </c>
      <c r="B10" s="1" t="s">
        <v>1523</v>
      </c>
      <c r="C10" s="1">
        <v>6</v>
      </c>
    </row>
    <row r="11" spans="1:3">
      <c r="A11" s="1" t="s">
        <v>339</v>
      </c>
      <c r="B11" s="1" t="s">
        <v>1524</v>
      </c>
      <c r="C11" s="1">
        <v>6</v>
      </c>
    </row>
    <row r="12" spans="1:3">
      <c r="A12" s="1" t="s">
        <v>362</v>
      </c>
      <c r="B12" s="1" t="s">
        <v>1525</v>
      </c>
      <c r="C12" s="1">
        <v>2</v>
      </c>
    </row>
    <row r="13" spans="1:3">
      <c r="A13" s="1" t="s">
        <v>395</v>
      </c>
      <c r="B13" s="1" t="s">
        <v>1526</v>
      </c>
      <c r="C13" s="1">
        <v>5</v>
      </c>
    </row>
    <row r="14" spans="1:3">
      <c r="A14" s="1" t="s">
        <v>425</v>
      </c>
      <c r="B14" s="1" t="s">
        <v>1527</v>
      </c>
      <c r="C14" s="1">
        <v>3</v>
      </c>
    </row>
    <row r="15" spans="1:3">
      <c r="A15" s="1" t="s">
        <v>457</v>
      </c>
      <c r="B15" s="1" t="s">
        <v>1528</v>
      </c>
      <c r="C15" s="1">
        <v>7</v>
      </c>
    </row>
    <row r="16" spans="1:3">
      <c r="A16" s="1" t="s">
        <v>479</v>
      </c>
      <c r="B16" s="1" t="s">
        <v>1333</v>
      </c>
      <c r="C16" s="1">
        <v>1</v>
      </c>
    </row>
    <row r="17" spans="1:3">
      <c r="A17" s="1" t="s">
        <v>504</v>
      </c>
      <c r="B17" s="1" t="s">
        <v>1529</v>
      </c>
      <c r="C17" s="1">
        <v>2</v>
      </c>
    </row>
    <row r="18" spans="1:3">
      <c r="A18" s="1" t="s">
        <v>520</v>
      </c>
      <c r="B18" s="1" t="s">
        <v>1530</v>
      </c>
      <c r="C18" s="1">
        <v>9</v>
      </c>
    </row>
    <row r="19" spans="1:3">
      <c r="A19" s="1" t="s">
        <v>547</v>
      </c>
      <c r="B19" s="1" t="s">
        <v>1531</v>
      </c>
      <c r="C19" s="1">
        <v>5</v>
      </c>
    </row>
    <row r="20" spans="1:3">
      <c r="A20" s="1" t="s">
        <v>574</v>
      </c>
      <c r="B20" s="1" t="s">
        <v>1532</v>
      </c>
      <c r="C20" s="1">
        <v>9</v>
      </c>
    </row>
    <row r="21" spans="1:3">
      <c r="A21" s="1" t="s">
        <v>602</v>
      </c>
      <c r="B21" s="1" t="s">
        <v>1533</v>
      </c>
      <c r="C21" s="1">
        <v>3</v>
      </c>
    </row>
    <row r="22" spans="1:3">
      <c r="A22" s="1" t="s">
        <v>640</v>
      </c>
      <c r="B22" s="1" t="s">
        <v>1534</v>
      </c>
      <c r="C22" s="1">
        <v>6</v>
      </c>
    </row>
    <row r="23" spans="1:3">
      <c r="A23" s="1" t="s">
        <v>660</v>
      </c>
      <c r="B23" s="1" t="s">
        <v>1535</v>
      </c>
      <c r="C23" s="1">
        <v>4</v>
      </c>
    </row>
    <row r="24" spans="1:3">
      <c r="A24" s="1" t="s">
        <v>679</v>
      </c>
      <c r="B24" s="1" t="s">
        <v>1536</v>
      </c>
      <c r="C24" s="1">
        <v>5</v>
      </c>
    </row>
    <row r="25" spans="1:3">
      <c r="A25" s="1" t="s">
        <v>690</v>
      </c>
      <c r="B25" s="1" t="s">
        <v>1537</v>
      </c>
      <c r="C25" s="1">
        <v>2</v>
      </c>
    </row>
    <row r="26" spans="1:3">
      <c r="A26" s="1" t="s">
        <v>704</v>
      </c>
      <c r="B26" s="1" t="s">
        <v>1324</v>
      </c>
      <c r="C26" s="1">
        <v>1</v>
      </c>
    </row>
    <row r="27" spans="1:3">
      <c r="A27" s="1" t="s">
        <v>725</v>
      </c>
      <c r="B27" s="1" t="s">
        <v>1538</v>
      </c>
      <c r="C27" s="1">
        <v>5</v>
      </c>
    </row>
    <row r="28" spans="1:3">
      <c r="A28" s="1" t="s">
        <v>734</v>
      </c>
      <c r="B28" s="1" t="s">
        <v>1539</v>
      </c>
      <c r="C28" s="1">
        <v>3</v>
      </c>
    </row>
    <row r="29" spans="1:3">
      <c r="A29" s="1" t="s">
        <v>748</v>
      </c>
      <c r="B29" s="1" t="s">
        <v>1540</v>
      </c>
      <c r="C29" s="1">
        <v>7</v>
      </c>
    </row>
    <row r="30" spans="1:3">
      <c r="A30" s="1" t="s">
        <v>776</v>
      </c>
      <c r="B30" s="1" t="s">
        <v>1541</v>
      </c>
      <c r="C30" s="1">
        <v>7</v>
      </c>
    </row>
    <row r="31" spans="1:3">
      <c r="A31" s="1" t="s">
        <v>787</v>
      </c>
      <c r="B31" s="1" t="s">
        <v>1540</v>
      </c>
      <c r="C31" s="1">
        <v>7</v>
      </c>
    </row>
    <row r="32" spans="1:3">
      <c r="A32" s="1" t="s">
        <v>799</v>
      </c>
      <c r="B32" s="1" t="s">
        <v>1542</v>
      </c>
      <c r="C32" s="1">
        <v>2</v>
      </c>
    </row>
    <row r="33" spans="1:3">
      <c r="A33" s="1" t="s">
        <v>828</v>
      </c>
      <c r="B33" s="1" t="s">
        <v>1543</v>
      </c>
      <c r="C33" s="1">
        <v>5</v>
      </c>
    </row>
    <row r="34" spans="1:3">
      <c r="A34" s="1" t="s">
        <v>839</v>
      </c>
      <c r="B34" s="1" t="s">
        <v>1544</v>
      </c>
      <c r="C34" s="1">
        <v>3</v>
      </c>
    </row>
    <row r="35" spans="1:3">
      <c r="A35" s="1" t="s">
        <v>855</v>
      </c>
      <c r="B35" s="1" t="s">
        <v>1545</v>
      </c>
      <c r="C35" s="1">
        <v>4</v>
      </c>
    </row>
    <row r="36" spans="1:3">
      <c r="A36" s="1" t="s">
        <v>878</v>
      </c>
      <c r="B36" s="1" t="s">
        <v>1323</v>
      </c>
      <c r="C36" s="1">
        <v>1</v>
      </c>
    </row>
    <row r="37" spans="1:3">
      <c r="A37" s="1" t="s">
        <v>889</v>
      </c>
      <c r="B37" s="1" t="s">
        <v>1546</v>
      </c>
      <c r="C37" s="1">
        <v>3</v>
      </c>
    </row>
    <row r="38" spans="1:3">
      <c r="A38" s="1" t="s">
        <v>912</v>
      </c>
      <c r="B38" s="1" t="s">
        <v>1325</v>
      </c>
      <c r="C38" s="1">
        <v>1</v>
      </c>
    </row>
    <row r="39" spans="1:3">
      <c r="A39" s="1" t="s">
        <v>922</v>
      </c>
      <c r="B39" s="1" t="s">
        <v>1547</v>
      </c>
      <c r="C39" s="1">
        <v>4</v>
      </c>
    </row>
    <row r="40" spans="1:3">
      <c r="A40" s="1" t="s">
        <v>934</v>
      </c>
      <c r="B40" s="1" t="s">
        <v>1548</v>
      </c>
      <c r="C40" s="1">
        <v>5</v>
      </c>
    </row>
    <row r="41" spans="1:3">
      <c r="A41" s="1" t="s">
        <v>950</v>
      </c>
      <c r="B41" s="1" t="s">
        <v>1549</v>
      </c>
      <c r="C41" s="1">
        <v>7</v>
      </c>
    </row>
    <row r="42" spans="1:3">
      <c r="A42" s="1" t="s">
        <v>966</v>
      </c>
      <c r="B42" s="1" t="s">
        <v>1550</v>
      </c>
      <c r="C42" s="1">
        <v>6</v>
      </c>
    </row>
    <row r="43" spans="1:3">
      <c r="A43" s="1" t="s">
        <v>975</v>
      </c>
      <c r="B43" s="1" t="s">
        <v>1551</v>
      </c>
      <c r="C43" s="1">
        <v>5</v>
      </c>
    </row>
    <row r="44" spans="1:3">
      <c r="A44" s="1" t="s">
        <v>994</v>
      </c>
      <c r="B44" s="1" t="s">
        <v>1552</v>
      </c>
      <c r="C44" s="1">
        <v>6</v>
      </c>
    </row>
    <row r="45" spans="1:3">
      <c r="A45" s="1" t="s">
        <v>1012</v>
      </c>
      <c r="B45" s="1" t="s">
        <v>1553</v>
      </c>
      <c r="C45" s="1">
        <v>8</v>
      </c>
    </row>
    <row r="46" spans="1:3">
      <c r="A46" s="1" t="s">
        <v>1050</v>
      </c>
      <c r="B46" s="1" t="s">
        <v>1554</v>
      </c>
      <c r="C46" s="1">
        <v>3</v>
      </c>
    </row>
    <row r="47" spans="1:3">
      <c r="A47" s="1" t="s">
        <v>1063</v>
      </c>
      <c r="B47" s="1" t="s">
        <v>1328</v>
      </c>
      <c r="C47" s="1">
        <v>1</v>
      </c>
    </row>
    <row r="48" spans="1:3">
      <c r="A48" s="1" t="s">
        <v>1074</v>
      </c>
      <c r="B48" s="1" t="s">
        <v>1323</v>
      </c>
      <c r="C48" s="1">
        <v>1</v>
      </c>
    </row>
    <row r="49" spans="1:3">
      <c r="A49" s="1" t="s">
        <v>1099</v>
      </c>
      <c r="B49" s="1" t="s">
        <v>1555</v>
      </c>
      <c r="C49" s="1">
        <v>5</v>
      </c>
    </row>
    <row r="50" spans="1:3">
      <c r="A50" s="1" t="s">
        <v>1110</v>
      </c>
      <c r="B50" s="1" t="s">
        <v>1556</v>
      </c>
      <c r="C50" s="1">
        <v>4</v>
      </c>
    </row>
    <row r="51" spans="1:3">
      <c r="A51" s="1" t="s">
        <v>1133</v>
      </c>
      <c r="B51" s="1" t="s">
        <v>1557</v>
      </c>
      <c r="C51" s="1">
        <v>6</v>
      </c>
    </row>
    <row r="52" spans="1:3">
      <c r="A52" s="1" t="s">
        <v>1147</v>
      </c>
      <c r="B52" s="1" t="s">
        <v>1558</v>
      </c>
      <c r="C52" s="1">
        <v>4</v>
      </c>
    </row>
    <row r="53" spans="1:3">
      <c r="A53" s="1" t="s">
        <v>1158</v>
      </c>
      <c r="B53" s="1" t="s">
        <v>1559</v>
      </c>
      <c r="C53" s="1">
        <v>3</v>
      </c>
    </row>
    <row r="54" spans="1:3">
      <c r="A54" s="1" t="s">
        <v>1173</v>
      </c>
      <c r="B54" s="1" t="s">
        <v>1560</v>
      </c>
      <c r="C54" s="1">
        <v>5</v>
      </c>
    </row>
    <row r="55" spans="1:3">
      <c r="A55" s="1" t="s">
        <v>1185</v>
      </c>
      <c r="B55" s="1" t="s">
        <v>1554</v>
      </c>
      <c r="C55" s="1">
        <v>3</v>
      </c>
    </row>
    <row r="56" spans="1:3">
      <c r="A56" s="1" t="s">
        <v>1204</v>
      </c>
      <c r="B56" s="1" t="s">
        <v>1530</v>
      </c>
      <c r="C56" s="1">
        <v>9</v>
      </c>
    </row>
    <row r="57" spans="1:3">
      <c r="A57" s="1" t="s">
        <v>1216</v>
      </c>
      <c r="B57" s="1" t="s">
        <v>1561</v>
      </c>
      <c r="C57" s="1">
        <v>3</v>
      </c>
    </row>
    <row r="58" spans="1:3">
      <c r="A58" s="1" t="s">
        <v>1239</v>
      </c>
      <c r="B58" s="1" t="s">
        <v>1331</v>
      </c>
      <c r="C58" s="1">
        <v>1</v>
      </c>
    </row>
    <row r="59" spans="1:3">
      <c r="A59" s="1" t="s">
        <v>1248</v>
      </c>
      <c r="B59" s="1" t="s">
        <v>1562</v>
      </c>
      <c r="C59" s="1">
        <v>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9"/>
  <sheetViews>
    <sheetView topLeftCell="A40" workbookViewId="0">
      <selection activeCell="E63" sqref="E63"/>
    </sheetView>
  </sheetViews>
  <sheetFormatPr defaultColWidth="8.88888888888889" defaultRowHeight="14.4" outlineLevelCol="5"/>
  <cols>
    <col min="1" max="1" width="14.7777777777778" customWidth="1"/>
    <col min="2" max="2" width="9.33333333333333" customWidth="1"/>
    <col min="3" max="3" width="12.6666666666667" customWidth="1"/>
    <col min="4" max="4" width="20.5555555555556" customWidth="1"/>
    <col min="5" max="6" width="12.6666666666667" customWidth="1"/>
  </cols>
  <sheetData>
    <row r="1" spans="1:6">
      <c r="A1" s="1" t="s">
        <v>1</v>
      </c>
      <c r="B1" s="1" t="s">
        <v>1563</v>
      </c>
      <c r="C1" s="1" t="s">
        <v>1564</v>
      </c>
      <c r="D1" s="1" t="s">
        <v>1565</v>
      </c>
      <c r="E1" s="1" t="s">
        <v>1566</v>
      </c>
      <c r="F1" s="1" t="s">
        <v>1567</v>
      </c>
    </row>
    <row r="2" spans="1:6">
      <c r="A2" s="1" t="s">
        <v>48</v>
      </c>
      <c r="B2" s="1">
        <v>5</v>
      </c>
      <c r="C2" s="1">
        <v>3</v>
      </c>
      <c r="D2" s="1">
        <v>2</v>
      </c>
      <c r="E2" s="1">
        <v>0</v>
      </c>
      <c r="F2" s="1">
        <v>0</v>
      </c>
    </row>
    <row r="3" spans="1:6">
      <c r="A3" s="1" t="s">
        <v>94</v>
      </c>
      <c r="B3" s="1">
        <v>9</v>
      </c>
      <c r="C3" s="1">
        <v>4</v>
      </c>
      <c r="D3" s="1">
        <v>5</v>
      </c>
      <c r="E3" s="1">
        <v>0</v>
      </c>
      <c r="F3" s="1">
        <v>0</v>
      </c>
    </row>
    <row r="4" spans="1:6">
      <c r="A4" s="1" t="s">
        <v>140</v>
      </c>
      <c r="B4" s="1">
        <v>7</v>
      </c>
      <c r="C4" s="1">
        <v>5</v>
      </c>
      <c r="D4" s="1">
        <v>2</v>
      </c>
      <c r="E4" s="1">
        <v>0</v>
      </c>
      <c r="F4" s="1">
        <v>0</v>
      </c>
    </row>
    <row r="5" spans="1:6">
      <c r="A5" s="1" t="s">
        <v>183</v>
      </c>
      <c r="B5" s="1">
        <v>5</v>
      </c>
      <c r="C5" s="1">
        <v>4</v>
      </c>
      <c r="D5" s="1">
        <v>1</v>
      </c>
      <c r="E5" s="1">
        <v>0</v>
      </c>
      <c r="F5" s="1">
        <v>0</v>
      </c>
    </row>
    <row r="6" spans="1:6">
      <c r="A6" s="1" t="s">
        <v>202</v>
      </c>
      <c r="B6" s="1">
        <v>9</v>
      </c>
      <c r="C6" s="1">
        <v>5</v>
      </c>
      <c r="D6" s="1">
        <v>4</v>
      </c>
      <c r="E6" s="1">
        <v>0</v>
      </c>
      <c r="F6" s="1">
        <v>0</v>
      </c>
    </row>
    <row r="7" spans="1:6">
      <c r="A7" s="1" t="s">
        <v>242</v>
      </c>
      <c r="B7" s="1">
        <v>9</v>
      </c>
      <c r="C7" s="1">
        <v>4</v>
      </c>
      <c r="D7" s="1">
        <v>5</v>
      </c>
      <c r="E7" s="1">
        <v>0</v>
      </c>
      <c r="F7" s="1">
        <v>0</v>
      </c>
    </row>
    <row r="8" spans="1:6">
      <c r="A8" s="1" t="s">
        <v>263</v>
      </c>
      <c r="B8" s="1">
        <v>6</v>
      </c>
      <c r="C8" s="1">
        <v>3</v>
      </c>
      <c r="D8" s="1">
        <v>3</v>
      </c>
      <c r="E8" s="1">
        <v>0</v>
      </c>
      <c r="F8" s="1">
        <v>0</v>
      </c>
    </row>
    <row r="9" spans="1:6">
      <c r="A9" s="1" t="s">
        <v>294</v>
      </c>
      <c r="B9" s="1">
        <v>5</v>
      </c>
      <c r="C9" s="1">
        <v>4</v>
      </c>
      <c r="D9" s="1">
        <v>1</v>
      </c>
      <c r="E9" s="1">
        <v>0</v>
      </c>
      <c r="F9" s="1">
        <v>0</v>
      </c>
    </row>
    <row r="10" spans="1:6">
      <c r="A10" s="1" t="s">
        <v>316</v>
      </c>
      <c r="B10" s="1">
        <v>5</v>
      </c>
      <c r="C10" s="1">
        <v>3</v>
      </c>
      <c r="D10" s="1">
        <v>2</v>
      </c>
      <c r="E10" s="1">
        <v>0</v>
      </c>
      <c r="F10" s="1">
        <v>0</v>
      </c>
    </row>
    <row r="11" spans="1:6">
      <c r="A11" s="1" t="s">
        <v>339</v>
      </c>
      <c r="B11" s="1">
        <v>4</v>
      </c>
      <c r="C11" s="1">
        <v>3</v>
      </c>
      <c r="D11" s="1">
        <v>1</v>
      </c>
      <c r="E11" s="1">
        <v>0</v>
      </c>
      <c r="F11" s="1">
        <v>0</v>
      </c>
    </row>
    <row r="12" spans="1:6">
      <c r="A12" s="1" t="s">
        <v>362</v>
      </c>
      <c r="B12" s="1">
        <v>6</v>
      </c>
      <c r="C12" s="1">
        <v>4</v>
      </c>
      <c r="D12" s="1">
        <v>2</v>
      </c>
      <c r="E12" s="1">
        <v>0</v>
      </c>
      <c r="F12" s="1">
        <v>0</v>
      </c>
    </row>
    <row r="13" spans="1:6">
      <c r="A13" s="1" t="s">
        <v>395</v>
      </c>
      <c r="B13" s="1">
        <v>6</v>
      </c>
      <c r="C13" s="1">
        <v>3</v>
      </c>
      <c r="D13" s="1">
        <v>3</v>
      </c>
      <c r="E13" s="1">
        <v>0</v>
      </c>
      <c r="F13" s="1">
        <v>0</v>
      </c>
    </row>
    <row r="14" spans="1:6">
      <c r="A14" s="1" t="s">
        <v>425</v>
      </c>
      <c r="B14" s="1">
        <v>9</v>
      </c>
      <c r="C14" s="1">
        <v>4</v>
      </c>
      <c r="D14" s="1">
        <v>5</v>
      </c>
      <c r="E14" s="1">
        <v>0</v>
      </c>
      <c r="F14" s="1">
        <v>0</v>
      </c>
    </row>
    <row r="15" spans="1:6">
      <c r="A15" s="1" t="s">
        <v>457</v>
      </c>
      <c r="B15" s="1">
        <v>5</v>
      </c>
      <c r="C15" s="1">
        <v>3</v>
      </c>
      <c r="D15" s="1">
        <v>2</v>
      </c>
      <c r="E15" s="1">
        <v>0</v>
      </c>
      <c r="F15" s="1">
        <v>0</v>
      </c>
    </row>
    <row r="16" spans="1:6">
      <c r="A16" s="1" t="s">
        <v>479</v>
      </c>
      <c r="B16" s="1">
        <v>6</v>
      </c>
      <c r="C16" s="1">
        <v>3</v>
      </c>
      <c r="D16" s="1">
        <v>3</v>
      </c>
      <c r="E16" s="1">
        <v>0</v>
      </c>
      <c r="F16" s="1">
        <v>0</v>
      </c>
    </row>
    <row r="17" spans="1:6">
      <c r="A17" s="1" t="s">
        <v>504</v>
      </c>
      <c r="B17" s="1">
        <v>5</v>
      </c>
      <c r="C17" s="1">
        <v>4</v>
      </c>
      <c r="D17" s="1">
        <v>1</v>
      </c>
      <c r="E17" s="1">
        <v>0</v>
      </c>
      <c r="F17" s="1">
        <v>0</v>
      </c>
    </row>
    <row r="18" spans="1:6">
      <c r="A18" s="1" t="s">
        <v>520</v>
      </c>
      <c r="B18" s="1">
        <v>5</v>
      </c>
      <c r="C18" s="1">
        <v>3</v>
      </c>
      <c r="D18" s="1">
        <v>2</v>
      </c>
      <c r="E18" s="1">
        <v>0</v>
      </c>
      <c r="F18" s="1">
        <v>0</v>
      </c>
    </row>
    <row r="19" spans="1:6">
      <c r="A19" s="1" t="s">
        <v>547</v>
      </c>
      <c r="B19" s="1">
        <v>5</v>
      </c>
      <c r="C19" s="1">
        <v>3</v>
      </c>
      <c r="D19" s="1">
        <v>2</v>
      </c>
      <c r="E19" s="1">
        <v>0</v>
      </c>
      <c r="F19" s="1">
        <v>0</v>
      </c>
    </row>
    <row r="20" spans="1:6">
      <c r="A20" s="1" t="s">
        <v>574</v>
      </c>
      <c r="B20" s="1">
        <v>7</v>
      </c>
      <c r="C20" s="1">
        <v>3</v>
      </c>
      <c r="D20" s="1">
        <v>4</v>
      </c>
      <c r="E20" s="1">
        <v>0</v>
      </c>
      <c r="F20" s="1">
        <v>0</v>
      </c>
    </row>
    <row r="21" spans="1:6">
      <c r="A21" s="1" t="s">
        <v>602</v>
      </c>
      <c r="B21" s="1">
        <v>9</v>
      </c>
      <c r="C21" s="1">
        <v>5</v>
      </c>
      <c r="D21" s="1">
        <v>4</v>
      </c>
      <c r="E21" s="1">
        <v>0</v>
      </c>
      <c r="F21" s="1">
        <v>0</v>
      </c>
    </row>
    <row r="22" spans="1:6">
      <c r="A22" s="1" t="s">
        <v>640</v>
      </c>
      <c r="B22" s="1">
        <v>5</v>
      </c>
      <c r="C22" s="1">
        <v>3</v>
      </c>
      <c r="D22" s="1">
        <v>2</v>
      </c>
      <c r="E22" s="1">
        <v>0</v>
      </c>
      <c r="F22" s="1">
        <v>0</v>
      </c>
    </row>
    <row r="23" spans="1:6">
      <c r="A23" s="1" t="s">
        <v>660</v>
      </c>
      <c r="B23" s="1">
        <v>5</v>
      </c>
      <c r="C23" s="1">
        <v>3</v>
      </c>
      <c r="D23" s="1">
        <v>2</v>
      </c>
      <c r="E23" s="1">
        <v>0</v>
      </c>
      <c r="F23" s="1">
        <v>0</v>
      </c>
    </row>
    <row r="24" spans="1:6">
      <c r="A24" s="1" t="s">
        <v>679</v>
      </c>
      <c r="B24" s="1">
        <v>4</v>
      </c>
      <c r="C24" s="1">
        <v>3</v>
      </c>
      <c r="D24" s="1">
        <v>1</v>
      </c>
      <c r="E24" s="1">
        <v>0</v>
      </c>
      <c r="F24" s="1">
        <v>0</v>
      </c>
    </row>
    <row r="25" spans="1:6">
      <c r="A25" s="1" t="s">
        <v>690</v>
      </c>
      <c r="B25" s="1">
        <v>4</v>
      </c>
      <c r="C25" s="1">
        <v>3</v>
      </c>
      <c r="D25" s="1">
        <v>1</v>
      </c>
      <c r="E25" s="1">
        <v>0</v>
      </c>
      <c r="F25" s="1">
        <v>0</v>
      </c>
    </row>
    <row r="26" spans="1:6">
      <c r="A26" s="1" t="s">
        <v>704</v>
      </c>
      <c r="B26" s="1">
        <v>7</v>
      </c>
      <c r="C26" s="1">
        <v>3</v>
      </c>
      <c r="D26" s="1">
        <v>4</v>
      </c>
      <c r="E26" s="1">
        <v>0</v>
      </c>
      <c r="F26" s="1">
        <v>0</v>
      </c>
    </row>
    <row r="27" spans="1:6">
      <c r="A27" s="1" t="s">
        <v>725</v>
      </c>
      <c r="B27" s="1">
        <v>5</v>
      </c>
      <c r="C27" s="1">
        <v>3</v>
      </c>
      <c r="D27" s="1">
        <v>2</v>
      </c>
      <c r="E27" s="1">
        <v>0</v>
      </c>
      <c r="F27" s="1">
        <v>0</v>
      </c>
    </row>
    <row r="28" spans="1:6">
      <c r="A28" s="1" t="s">
        <v>734</v>
      </c>
      <c r="B28" s="1">
        <v>4</v>
      </c>
      <c r="C28" s="1">
        <v>3</v>
      </c>
      <c r="D28" s="1">
        <v>1</v>
      </c>
      <c r="E28" s="1">
        <v>0</v>
      </c>
      <c r="F28" s="1">
        <v>0</v>
      </c>
    </row>
    <row r="29" spans="1:6">
      <c r="A29" s="1" t="s">
        <v>748</v>
      </c>
      <c r="B29" s="1">
        <v>5</v>
      </c>
      <c r="C29" s="1">
        <v>3</v>
      </c>
      <c r="D29" s="1">
        <v>2</v>
      </c>
      <c r="E29" s="1">
        <v>0</v>
      </c>
      <c r="F29" s="1">
        <v>0</v>
      </c>
    </row>
    <row r="30" spans="1:6">
      <c r="A30" s="1" t="s">
        <v>776</v>
      </c>
      <c r="B30" s="1">
        <v>5</v>
      </c>
      <c r="C30" s="1">
        <v>3</v>
      </c>
      <c r="D30" s="1">
        <v>2</v>
      </c>
      <c r="E30" s="1">
        <v>0</v>
      </c>
      <c r="F30" s="1">
        <v>0</v>
      </c>
    </row>
    <row r="31" spans="1:6">
      <c r="A31" s="1" t="s">
        <v>787</v>
      </c>
      <c r="B31" s="1">
        <v>5</v>
      </c>
      <c r="C31" s="1">
        <v>4</v>
      </c>
      <c r="D31" s="1">
        <v>1</v>
      </c>
      <c r="E31" s="1">
        <v>0</v>
      </c>
      <c r="F31" s="1">
        <v>0</v>
      </c>
    </row>
    <row r="32" spans="1:6">
      <c r="A32" s="1" t="s">
        <v>799</v>
      </c>
      <c r="B32" s="1">
        <v>6</v>
      </c>
      <c r="C32" s="1">
        <v>3</v>
      </c>
      <c r="D32" s="1">
        <v>3</v>
      </c>
      <c r="E32" s="1">
        <v>0</v>
      </c>
      <c r="F32" s="1">
        <v>0</v>
      </c>
    </row>
    <row r="33" spans="1:6">
      <c r="A33" s="1" t="s">
        <v>828</v>
      </c>
      <c r="B33" s="1">
        <v>6</v>
      </c>
      <c r="C33" s="1">
        <v>3</v>
      </c>
      <c r="D33" s="1">
        <v>3</v>
      </c>
      <c r="E33" s="1">
        <v>0</v>
      </c>
      <c r="F33" s="1">
        <v>0</v>
      </c>
    </row>
    <row r="34" spans="1:6">
      <c r="A34" s="1" t="s">
        <v>839</v>
      </c>
      <c r="B34" s="1">
        <v>8</v>
      </c>
      <c r="C34" s="1">
        <v>4</v>
      </c>
      <c r="D34" s="1">
        <v>4</v>
      </c>
      <c r="E34" s="1">
        <v>0</v>
      </c>
      <c r="F34" s="1">
        <v>0</v>
      </c>
    </row>
    <row r="35" spans="1:6">
      <c r="A35" s="1" t="s">
        <v>855</v>
      </c>
      <c r="B35" s="1">
        <v>5</v>
      </c>
      <c r="C35" s="1">
        <v>3</v>
      </c>
      <c r="D35" s="1">
        <v>2</v>
      </c>
      <c r="E35" s="1">
        <v>0</v>
      </c>
      <c r="F35" s="1">
        <v>0</v>
      </c>
    </row>
    <row r="36" spans="1:6">
      <c r="A36" s="1" t="s">
        <v>878</v>
      </c>
      <c r="B36" s="1">
        <v>5</v>
      </c>
      <c r="C36" s="1">
        <v>3</v>
      </c>
      <c r="D36" s="1">
        <v>2</v>
      </c>
      <c r="E36" s="1">
        <v>0</v>
      </c>
      <c r="F36" s="1">
        <v>0</v>
      </c>
    </row>
    <row r="37" spans="1:6">
      <c r="A37" s="1" t="s">
        <v>889</v>
      </c>
      <c r="B37" s="1">
        <v>4</v>
      </c>
      <c r="C37" s="1">
        <v>2</v>
      </c>
      <c r="D37" s="1">
        <v>2</v>
      </c>
      <c r="E37" s="1">
        <v>0</v>
      </c>
      <c r="F37" s="1">
        <v>0</v>
      </c>
    </row>
    <row r="38" spans="1:6">
      <c r="A38" s="1" t="s">
        <v>912</v>
      </c>
      <c r="B38" s="1">
        <v>5</v>
      </c>
      <c r="C38" s="1">
        <v>3</v>
      </c>
      <c r="D38" s="1">
        <v>2</v>
      </c>
      <c r="E38" s="1">
        <v>0</v>
      </c>
      <c r="F38" s="1">
        <v>0</v>
      </c>
    </row>
    <row r="39" spans="1:6">
      <c r="A39" s="1" t="s">
        <v>922</v>
      </c>
      <c r="B39" s="1">
        <v>7</v>
      </c>
      <c r="C39" s="1">
        <v>3</v>
      </c>
      <c r="D39" s="1">
        <v>4</v>
      </c>
      <c r="E39" s="1">
        <v>0</v>
      </c>
      <c r="F39" s="1">
        <v>0</v>
      </c>
    </row>
    <row r="40" spans="1:6">
      <c r="A40" s="1" t="s">
        <v>934</v>
      </c>
      <c r="B40" s="1">
        <v>7</v>
      </c>
      <c r="C40" s="1">
        <v>3</v>
      </c>
      <c r="D40" s="1">
        <v>4</v>
      </c>
      <c r="E40" s="1">
        <v>0</v>
      </c>
      <c r="F40" s="1">
        <v>0</v>
      </c>
    </row>
    <row r="41" spans="1:6">
      <c r="A41" s="1" t="s">
        <v>950</v>
      </c>
      <c r="B41" s="1">
        <v>4</v>
      </c>
      <c r="C41" s="1">
        <v>2</v>
      </c>
      <c r="D41" s="1">
        <v>2</v>
      </c>
      <c r="E41" s="1">
        <v>0</v>
      </c>
      <c r="F41" s="1">
        <v>0</v>
      </c>
    </row>
    <row r="42" spans="1:6">
      <c r="A42" s="1" t="s">
        <v>966</v>
      </c>
      <c r="B42" s="1">
        <v>5</v>
      </c>
      <c r="C42" s="1">
        <v>3</v>
      </c>
      <c r="D42" s="1">
        <v>2</v>
      </c>
      <c r="E42" s="1">
        <v>0</v>
      </c>
      <c r="F42" s="1">
        <v>0</v>
      </c>
    </row>
    <row r="43" spans="1:6">
      <c r="A43" s="1" t="s">
        <v>975</v>
      </c>
      <c r="B43" s="1">
        <v>6</v>
      </c>
      <c r="C43" s="1">
        <v>4</v>
      </c>
      <c r="D43" s="1">
        <v>2</v>
      </c>
      <c r="E43" s="1">
        <v>0</v>
      </c>
      <c r="F43" s="1">
        <v>0</v>
      </c>
    </row>
    <row r="44" spans="1:6">
      <c r="A44" s="1" t="s">
        <v>994</v>
      </c>
      <c r="B44" s="1">
        <v>4</v>
      </c>
      <c r="C44" s="1">
        <v>3</v>
      </c>
      <c r="D44" s="1">
        <v>1</v>
      </c>
      <c r="E44" s="1">
        <v>0</v>
      </c>
      <c r="F44" s="1">
        <v>0</v>
      </c>
    </row>
    <row r="45" spans="1:6">
      <c r="A45" s="1" t="s">
        <v>1012</v>
      </c>
      <c r="B45" s="1">
        <v>9</v>
      </c>
      <c r="C45" s="1">
        <v>4</v>
      </c>
      <c r="D45" s="1">
        <v>5</v>
      </c>
      <c r="E45" s="1">
        <v>0</v>
      </c>
      <c r="F45" s="1">
        <v>0</v>
      </c>
    </row>
    <row r="46" spans="1:6">
      <c r="A46" s="1" t="s">
        <v>1050</v>
      </c>
      <c r="B46" s="1">
        <v>5</v>
      </c>
      <c r="C46" s="1">
        <v>3</v>
      </c>
      <c r="D46" s="1">
        <v>2</v>
      </c>
      <c r="E46" s="1">
        <v>0</v>
      </c>
      <c r="F46" s="1">
        <v>0</v>
      </c>
    </row>
    <row r="47" spans="1:6">
      <c r="A47" s="1" t="s">
        <v>1063</v>
      </c>
      <c r="B47" s="1">
        <v>6</v>
      </c>
      <c r="C47" s="1">
        <v>4</v>
      </c>
      <c r="D47" s="1">
        <v>2</v>
      </c>
      <c r="E47" s="1">
        <v>0</v>
      </c>
      <c r="F47" s="1">
        <v>0</v>
      </c>
    </row>
    <row r="48" spans="1:6">
      <c r="A48" s="1" t="s">
        <v>1074</v>
      </c>
      <c r="B48" s="1">
        <v>5</v>
      </c>
      <c r="C48" s="1">
        <v>3</v>
      </c>
      <c r="D48" s="1">
        <v>2</v>
      </c>
      <c r="E48" s="1">
        <v>0</v>
      </c>
      <c r="F48" s="1">
        <v>0</v>
      </c>
    </row>
    <row r="49" spans="1:6">
      <c r="A49" s="1" t="s">
        <v>1099</v>
      </c>
      <c r="B49" s="1">
        <v>5</v>
      </c>
      <c r="C49" s="1">
        <v>4</v>
      </c>
      <c r="D49" s="1">
        <v>1</v>
      </c>
      <c r="E49" s="1">
        <v>0</v>
      </c>
      <c r="F49" s="1">
        <v>0</v>
      </c>
    </row>
    <row r="50" spans="1:6">
      <c r="A50" s="1" t="s">
        <v>1110</v>
      </c>
      <c r="B50" s="1">
        <v>5</v>
      </c>
      <c r="C50" s="1">
        <v>3</v>
      </c>
      <c r="D50" s="1">
        <v>2</v>
      </c>
      <c r="E50" s="1">
        <v>0</v>
      </c>
      <c r="F50" s="1">
        <v>0</v>
      </c>
    </row>
    <row r="51" spans="1:6">
      <c r="A51" s="1" t="s">
        <v>1133</v>
      </c>
      <c r="B51" s="1">
        <v>6</v>
      </c>
      <c r="C51" s="1">
        <v>3</v>
      </c>
      <c r="D51" s="1">
        <v>3</v>
      </c>
      <c r="E51" s="1">
        <v>0</v>
      </c>
      <c r="F51" s="1">
        <v>0</v>
      </c>
    </row>
    <row r="52" spans="1:6">
      <c r="A52" s="1" t="s">
        <v>1147</v>
      </c>
      <c r="B52" s="1">
        <v>7</v>
      </c>
      <c r="C52" s="1">
        <v>3</v>
      </c>
      <c r="D52" s="1">
        <v>4</v>
      </c>
      <c r="E52" s="1">
        <v>0</v>
      </c>
      <c r="F52" s="1">
        <v>0</v>
      </c>
    </row>
    <row r="53" spans="1:6">
      <c r="A53" s="1" t="s">
        <v>1158</v>
      </c>
      <c r="B53" s="1">
        <v>6</v>
      </c>
      <c r="C53" s="1">
        <v>3</v>
      </c>
      <c r="D53" s="1">
        <v>3</v>
      </c>
      <c r="E53" s="1">
        <v>0</v>
      </c>
      <c r="F53" s="1">
        <v>0</v>
      </c>
    </row>
    <row r="54" spans="1:6">
      <c r="A54" s="1" t="s">
        <v>1173</v>
      </c>
      <c r="B54" s="1">
        <v>8</v>
      </c>
      <c r="C54" s="1">
        <v>3</v>
      </c>
      <c r="D54" s="1">
        <v>5</v>
      </c>
      <c r="E54" s="1">
        <v>0</v>
      </c>
      <c r="F54" s="1">
        <v>0</v>
      </c>
    </row>
    <row r="55" spans="1:6">
      <c r="A55" s="1" t="s">
        <v>1185</v>
      </c>
      <c r="B55" s="1">
        <v>5</v>
      </c>
      <c r="C55" s="1">
        <v>4</v>
      </c>
      <c r="D55" s="1">
        <v>1</v>
      </c>
      <c r="E55" s="1">
        <v>0</v>
      </c>
      <c r="F55" s="1">
        <v>0</v>
      </c>
    </row>
    <row r="56" spans="1:6">
      <c r="A56" s="1" t="s">
        <v>1204</v>
      </c>
      <c r="B56" s="1">
        <v>6</v>
      </c>
      <c r="C56" s="1">
        <v>3</v>
      </c>
      <c r="D56" s="1">
        <v>3</v>
      </c>
      <c r="E56" s="1">
        <v>0</v>
      </c>
      <c r="F56" s="1">
        <v>0</v>
      </c>
    </row>
    <row r="57" spans="1:6">
      <c r="A57" s="1" t="s">
        <v>1216</v>
      </c>
      <c r="B57" s="1">
        <v>6</v>
      </c>
      <c r="C57" s="1">
        <v>4</v>
      </c>
      <c r="D57" s="1">
        <v>2</v>
      </c>
      <c r="E57" s="1">
        <v>0</v>
      </c>
      <c r="F57" s="1">
        <v>0</v>
      </c>
    </row>
    <row r="58" spans="1:6">
      <c r="A58" s="1" t="s">
        <v>1239</v>
      </c>
      <c r="B58" s="1">
        <v>4</v>
      </c>
      <c r="C58" s="1">
        <v>3</v>
      </c>
      <c r="D58" s="1">
        <v>1</v>
      </c>
      <c r="E58" s="1">
        <v>0</v>
      </c>
      <c r="F58" s="1">
        <v>0</v>
      </c>
    </row>
    <row r="59" spans="1:6">
      <c r="A59" s="1" t="s">
        <v>1248</v>
      </c>
      <c r="B59" s="1">
        <v>5</v>
      </c>
      <c r="C59" s="1">
        <v>2</v>
      </c>
      <c r="D59" s="1">
        <v>3</v>
      </c>
      <c r="E59" s="1">
        <v>0</v>
      </c>
      <c r="F59"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Sheet1</vt:lpstr>
      <vt:lpstr>chi_tiet</vt:lpstr>
      <vt:lpstr>Grount-truth</vt:lpstr>
      <vt:lpstr>Plane</vt:lpstr>
      <vt:lpstr>Abnormalities</vt:lpstr>
      <vt:lpstr>Fluid+Fat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11A2.26.Trần Tiến Phát</cp:lastModifiedBy>
  <dcterms:created xsi:type="dcterms:W3CDTF">2026-09-23T12:15:00Z</dcterms:created>
  <dcterms:modified xsi:type="dcterms:W3CDTF">2026-09-29T15:23:25Z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1D4E029EB8554C918C520C0B204FBFDF_11</vt:lpwstr>
  </property>
  <property fmtid="{D5CDD505-2E9C-101B-9397-08002B2CF9AE}" pid="3" name="KSOProductBuildVer">
    <vt:lpwstr>1033-12.1.0.28485</vt:lpwstr>
  </property>
  <property fmtid="{D5CDD505-2E9C-101B-9397-08002B2CF9AE}" pid="4" name="CalculationRule">
    <vt:i4>1</vt:i4>
  </property>
</Properties>
</file>